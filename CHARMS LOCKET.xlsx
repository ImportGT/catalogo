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TALOGO\"/>
    </mc:Choice>
  </mc:AlternateContent>
  <xr:revisionPtr revIDLastSave="0" documentId="8_{87553FBF-38E6-4B2F-AD7C-5C3937D79D18}" xr6:coauthVersionLast="47" xr6:coauthVersionMax="47" xr10:uidLastSave="{00000000-0000-0000-0000-000000000000}"/>
  <bookViews>
    <workbookView xWindow="-120" yWindow="-120" windowWidth="29040" windowHeight="15720" xr2:uid="{E6A8523F-E3AD-47A2-8921-8093ECE4490C}"/>
  </bookViews>
  <sheets>
    <sheet name="CH LOCK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2" i="1" l="1"/>
  <c r="D82" i="1"/>
  <c r="E82" i="1" s="1"/>
  <c r="G81" i="1"/>
  <c r="D81" i="1"/>
  <c r="E81" i="1" s="1"/>
  <c r="G80" i="1"/>
  <c r="D80" i="1"/>
  <c r="E80" i="1" s="1"/>
  <c r="G79" i="1"/>
  <c r="D79" i="1"/>
  <c r="E79" i="1" s="1"/>
  <c r="G78" i="1"/>
  <c r="E78" i="1"/>
  <c r="D78" i="1"/>
  <c r="G77" i="1"/>
  <c r="D77" i="1"/>
  <c r="E77" i="1" s="1"/>
  <c r="G76" i="1"/>
  <c r="D76" i="1"/>
  <c r="E76" i="1" s="1"/>
  <c r="G75" i="1"/>
  <c r="E75" i="1"/>
  <c r="D75" i="1"/>
  <c r="G74" i="1"/>
  <c r="D74" i="1"/>
  <c r="E74" i="1" s="1"/>
  <c r="G73" i="1"/>
  <c r="D73" i="1"/>
  <c r="E73" i="1" s="1"/>
  <c r="G72" i="1"/>
  <c r="D72" i="1"/>
  <c r="E72" i="1" s="1"/>
  <c r="G71" i="1"/>
  <c r="D71" i="1"/>
  <c r="E71" i="1" s="1"/>
  <c r="G70" i="1"/>
  <c r="E70" i="1"/>
  <c r="D70" i="1"/>
  <c r="G69" i="1"/>
  <c r="D69" i="1"/>
  <c r="E69" i="1" s="1"/>
  <c r="G68" i="1"/>
  <c r="D68" i="1"/>
  <c r="E68" i="1" s="1"/>
  <c r="G67" i="1"/>
  <c r="E67" i="1"/>
  <c r="D67" i="1"/>
  <c r="G66" i="1"/>
  <c r="D66" i="1"/>
  <c r="E66" i="1" s="1"/>
  <c r="G65" i="1"/>
  <c r="D65" i="1"/>
  <c r="E65" i="1" s="1"/>
  <c r="G64" i="1"/>
  <c r="D64" i="1"/>
  <c r="E64" i="1" s="1"/>
  <c r="G63" i="1"/>
  <c r="D63" i="1"/>
  <c r="E63" i="1" s="1"/>
  <c r="G62" i="1"/>
  <c r="E62" i="1"/>
  <c r="D62" i="1"/>
  <c r="G61" i="1"/>
  <c r="D61" i="1"/>
  <c r="E61" i="1" s="1"/>
  <c r="G60" i="1"/>
  <c r="D60" i="1"/>
  <c r="E60" i="1" s="1"/>
  <c r="G59" i="1"/>
  <c r="D59" i="1"/>
  <c r="E59" i="1" s="1"/>
  <c r="G58" i="1"/>
  <c r="D58" i="1"/>
  <c r="E58" i="1" s="1"/>
  <c r="G57" i="1"/>
  <c r="D57" i="1"/>
  <c r="E57" i="1" s="1"/>
  <c r="G56" i="1"/>
  <c r="D56" i="1"/>
  <c r="E56" i="1" s="1"/>
  <c r="G55" i="1"/>
  <c r="D55" i="1"/>
  <c r="E55" i="1" s="1"/>
  <c r="G54" i="1"/>
  <c r="E54" i="1"/>
  <c r="D54" i="1"/>
  <c r="G53" i="1"/>
  <c r="D53" i="1"/>
  <c r="E53" i="1" s="1"/>
  <c r="G52" i="1"/>
  <c r="D52" i="1"/>
  <c r="E52" i="1" s="1"/>
  <c r="G51" i="1"/>
  <c r="D51" i="1"/>
  <c r="E51" i="1" s="1"/>
  <c r="G50" i="1"/>
  <c r="D50" i="1"/>
  <c r="E50" i="1" s="1"/>
  <c r="G49" i="1"/>
  <c r="D49" i="1"/>
  <c r="E49" i="1" s="1"/>
  <c r="G48" i="1"/>
  <c r="D48" i="1"/>
  <c r="E48" i="1" s="1"/>
  <c r="G47" i="1"/>
  <c r="D47" i="1"/>
  <c r="E47" i="1" s="1"/>
  <c r="G46" i="1"/>
  <c r="E46" i="1"/>
  <c r="D46" i="1"/>
  <c r="G45" i="1"/>
  <c r="D45" i="1"/>
  <c r="E45" i="1" s="1"/>
  <c r="G44" i="1"/>
  <c r="D44" i="1"/>
  <c r="E44" i="1" s="1"/>
  <c r="G43" i="1"/>
  <c r="D43" i="1"/>
  <c r="E43" i="1" s="1"/>
  <c r="G42" i="1"/>
  <c r="D42" i="1"/>
  <c r="E42" i="1" s="1"/>
  <c r="G41" i="1"/>
  <c r="D41" i="1"/>
  <c r="E41" i="1" s="1"/>
  <c r="G40" i="1"/>
  <c r="D40" i="1"/>
  <c r="E40" i="1" s="1"/>
  <c r="G39" i="1"/>
  <c r="D39" i="1"/>
  <c r="E39" i="1" s="1"/>
  <c r="G38" i="1"/>
  <c r="E38" i="1"/>
  <c r="D38" i="1"/>
  <c r="G37" i="1"/>
  <c r="D37" i="1"/>
  <c r="E37" i="1" s="1"/>
  <c r="G36" i="1"/>
  <c r="D36" i="1"/>
  <c r="E36" i="1" s="1"/>
  <c r="G35" i="1"/>
  <c r="D35" i="1"/>
  <c r="E35" i="1" s="1"/>
  <c r="G34" i="1"/>
  <c r="D34" i="1"/>
  <c r="E34" i="1" s="1"/>
  <c r="G33" i="1"/>
  <c r="D33" i="1"/>
  <c r="E33" i="1" s="1"/>
  <c r="G32" i="1"/>
  <c r="D32" i="1"/>
  <c r="E32" i="1" s="1"/>
  <c r="G31" i="1"/>
  <c r="D31" i="1"/>
  <c r="E31" i="1" s="1"/>
  <c r="G30" i="1"/>
  <c r="E30" i="1"/>
  <c r="D30" i="1"/>
  <c r="G29" i="1"/>
  <c r="D29" i="1"/>
  <c r="E29" i="1" s="1"/>
  <c r="G28" i="1"/>
  <c r="D28" i="1"/>
  <c r="E28" i="1" s="1"/>
  <c r="G27" i="1"/>
  <c r="D27" i="1"/>
  <c r="E27" i="1" s="1"/>
  <c r="G26" i="1"/>
  <c r="D26" i="1"/>
  <c r="E26" i="1" s="1"/>
  <c r="G25" i="1"/>
  <c r="D25" i="1"/>
  <c r="E25" i="1" s="1"/>
  <c r="G24" i="1"/>
  <c r="D24" i="1"/>
  <c r="E24" i="1" s="1"/>
  <c r="G23" i="1"/>
  <c r="D23" i="1"/>
  <c r="E23" i="1" s="1"/>
  <c r="G22" i="1"/>
  <c r="E22" i="1"/>
  <c r="D22" i="1"/>
  <c r="G21" i="1"/>
  <c r="D21" i="1"/>
  <c r="E21" i="1" s="1"/>
  <c r="G20" i="1"/>
  <c r="D20" i="1"/>
  <c r="E20" i="1" s="1"/>
  <c r="G19" i="1"/>
  <c r="D19" i="1"/>
  <c r="E19" i="1" s="1"/>
  <c r="G18" i="1"/>
  <c r="D18" i="1"/>
  <c r="E18" i="1" s="1"/>
  <c r="G17" i="1"/>
  <c r="D17" i="1"/>
  <c r="E17" i="1" s="1"/>
  <c r="G16" i="1"/>
  <c r="D16" i="1"/>
  <c r="E16" i="1" s="1"/>
  <c r="G15" i="1"/>
  <c r="D15" i="1"/>
  <c r="E15" i="1" s="1"/>
  <c r="G14" i="1"/>
  <c r="E14" i="1"/>
  <c r="D14" i="1"/>
  <c r="G13" i="1"/>
  <c r="D13" i="1"/>
  <c r="E13" i="1" s="1"/>
  <c r="G12" i="1"/>
  <c r="D12" i="1"/>
  <c r="E12" i="1" s="1"/>
  <c r="G11" i="1"/>
  <c r="D11" i="1"/>
  <c r="E11" i="1" s="1"/>
  <c r="G10" i="1"/>
  <c r="D10" i="1"/>
  <c r="E10" i="1" s="1"/>
  <c r="G9" i="1"/>
  <c r="D9" i="1"/>
  <c r="E9" i="1" s="1"/>
  <c r="G8" i="1"/>
  <c r="D8" i="1"/>
  <c r="E8" i="1" s="1"/>
  <c r="G7" i="1"/>
  <c r="D7" i="1"/>
  <c r="E7" i="1" s="1"/>
  <c r="G6" i="1"/>
  <c r="E6" i="1"/>
  <c r="D6" i="1"/>
  <c r="G5" i="1"/>
  <c r="D5" i="1"/>
  <c r="E5" i="1" s="1"/>
  <c r="G4" i="1"/>
  <c r="D4" i="1"/>
  <c r="E4" i="1" s="1"/>
  <c r="G3" i="1"/>
  <c r="D3" i="1"/>
  <c r="E3" i="1" s="1"/>
  <c r="G2" i="1"/>
  <c r="D2" i="1"/>
  <c r="E2" i="1" s="1"/>
</calcChain>
</file>

<file path=xl/sharedStrings.xml><?xml version="1.0" encoding="utf-8"?>
<sst xmlns="http://schemas.openxmlformats.org/spreadsheetml/2006/main" count="9" uniqueCount="9">
  <si>
    <t>NUMERO</t>
  </si>
  <si>
    <t>IMAGEN</t>
  </si>
  <si>
    <t>COSTO</t>
  </si>
  <si>
    <t>COSTO TOT</t>
  </si>
  <si>
    <t>PRECIO M</t>
  </si>
  <si>
    <t>PRECIO</t>
  </si>
  <si>
    <t>PEDIDO</t>
  </si>
  <si>
    <t>TRANSITO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</si>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</sst>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_-[$Q-100A]* #,##0_-;\-[$Q-100A]* #,##0_-;_-[$Q-100A]* &quot;-&quot;??_-;_-@"/>
  </numFmts>
  <fonts count="7" x14ac:knownFonts="1">
    <font>
      <sz val="10"/>
      <color rgb="FF000000"/>
      <name val="Calibri"/>
      <scheme val="minor"/>
    </font>
    <font>
      <b/>
      <sz val="7"/>
      <color theme="1"/>
      <name val="Microsoft YaHei"/>
      <family val="2"/>
    </font>
    <font>
      <sz val="10"/>
      <color rgb="FF000000"/>
      <name val="Calibri"/>
      <family val="1"/>
      <scheme val="minor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Microsoft YaHei"/>
      <family val="2"/>
    </font>
    <font>
      <sz val="18"/>
      <color rgb="FF000000"/>
      <name val="Calibri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shrinkToFit="1"/>
    </xf>
    <xf numFmtId="165" fontId="5" fillId="0" borderId="3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16" Type="http://schemas.openxmlformats.org/officeDocument/2006/relationships/image" Target="../media/image16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80" Type="http://schemas.openxmlformats.org/officeDocument/2006/relationships/image" Target="../media/image80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81</xdr:row>
      <xdr:rowOff>57150</xdr:rowOff>
    </xdr:from>
    <xdr:to>
      <xdr:col>1</xdr:col>
      <xdr:colOff>828675</xdr:colOff>
      <xdr:row>81</xdr:row>
      <xdr:rowOff>762000</xdr:rowOff>
    </xdr:to>
    <xdr:pic>
      <xdr:nvPicPr>
        <xdr:cNvPr id="2" name="image11.jpg">
          <a:extLst>
            <a:ext uri="{FF2B5EF4-FFF2-40B4-BE49-F238E27FC236}">
              <a16:creationId xmlns:a16="http://schemas.microsoft.com/office/drawing/2014/main" id="{EFB0F3BF-DF83-436A-8E84-4D479006C7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0" y="64989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80</xdr:row>
      <xdr:rowOff>38100</xdr:rowOff>
    </xdr:from>
    <xdr:to>
      <xdr:col>1</xdr:col>
      <xdr:colOff>838200</xdr:colOff>
      <xdr:row>80</xdr:row>
      <xdr:rowOff>742950</xdr:rowOff>
    </xdr:to>
    <xdr:pic>
      <xdr:nvPicPr>
        <xdr:cNvPr id="3" name="image2.jpg">
          <a:extLst>
            <a:ext uri="{FF2B5EF4-FFF2-40B4-BE49-F238E27FC236}">
              <a16:creationId xmlns:a16="http://schemas.microsoft.com/office/drawing/2014/main" id="{6949604C-ACE7-484A-831E-09EF5C6EDE9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375" y="64160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79</xdr:row>
      <xdr:rowOff>38100</xdr:rowOff>
    </xdr:from>
    <xdr:to>
      <xdr:col>1</xdr:col>
      <xdr:colOff>800100</xdr:colOff>
      <xdr:row>79</xdr:row>
      <xdr:rowOff>742950</xdr:rowOff>
    </xdr:to>
    <xdr:pic>
      <xdr:nvPicPr>
        <xdr:cNvPr id="4" name="image10.jpg">
          <a:extLst>
            <a:ext uri="{FF2B5EF4-FFF2-40B4-BE49-F238E27FC236}">
              <a16:creationId xmlns:a16="http://schemas.microsoft.com/office/drawing/2014/main" id="{241EBC9B-44FD-4730-BC03-6CE111AC181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76275" y="63350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78</xdr:row>
      <xdr:rowOff>47625</xdr:rowOff>
    </xdr:from>
    <xdr:to>
      <xdr:col>1</xdr:col>
      <xdr:colOff>828675</xdr:colOff>
      <xdr:row>78</xdr:row>
      <xdr:rowOff>752475</xdr:rowOff>
    </xdr:to>
    <xdr:pic>
      <xdr:nvPicPr>
        <xdr:cNvPr id="5" name="image8.jpg">
          <a:extLst>
            <a:ext uri="{FF2B5EF4-FFF2-40B4-BE49-F238E27FC236}">
              <a16:creationId xmlns:a16="http://schemas.microsoft.com/office/drawing/2014/main" id="{BEA7AA15-F8DB-437A-8B13-71D396909DE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04850" y="62550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77</xdr:row>
      <xdr:rowOff>47625</xdr:rowOff>
    </xdr:from>
    <xdr:to>
      <xdr:col>1</xdr:col>
      <xdr:colOff>800100</xdr:colOff>
      <xdr:row>77</xdr:row>
      <xdr:rowOff>752475</xdr:rowOff>
    </xdr:to>
    <xdr:pic>
      <xdr:nvPicPr>
        <xdr:cNvPr id="6" name="image21.jpg">
          <a:extLst>
            <a:ext uri="{FF2B5EF4-FFF2-40B4-BE49-F238E27FC236}">
              <a16:creationId xmlns:a16="http://schemas.microsoft.com/office/drawing/2014/main" id="{B098E7B1-5142-4080-B606-CA9DDB07268B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76275" y="61741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76</xdr:row>
      <xdr:rowOff>47625</xdr:rowOff>
    </xdr:from>
    <xdr:to>
      <xdr:col>1</xdr:col>
      <xdr:colOff>819150</xdr:colOff>
      <xdr:row>76</xdr:row>
      <xdr:rowOff>752475</xdr:rowOff>
    </xdr:to>
    <xdr:pic>
      <xdr:nvPicPr>
        <xdr:cNvPr id="7" name="image16.jpg">
          <a:extLst>
            <a:ext uri="{FF2B5EF4-FFF2-40B4-BE49-F238E27FC236}">
              <a16:creationId xmlns:a16="http://schemas.microsoft.com/office/drawing/2014/main" id="{CB3848E2-E15E-46FC-B5BF-B8388417C47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95325" y="60931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75</xdr:row>
      <xdr:rowOff>38100</xdr:rowOff>
    </xdr:from>
    <xdr:to>
      <xdr:col>1</xdr:col>
      <xdr:colOff>800100</xdr:colOff>
      <xdr:row>75</xdr:row>
      <xdr:rowOff>742950</xdr:rowOff>
    </xdr:to>
    <xdr:pic>
      <xdr:nvPicPr>
        <xdr:cNvPr id="8" name="image23.jpg">
          <a:extLst>
            <a:ext uri="{FF2B5EF4-FFF2-40B4-BE49-F238E27FC236}">
              <a16:creationId xmlns:a16="http://schemas.microsoft.com/office/drawing/2014/main" id="{190C6488-268A-48C3-B3C0-5E0C35FB2B5B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676275" y="60112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74</xdr:row>
      <xdr:rowOff>28575</xdr:rowOff>
    </xdr:from>
    <xdr:to>
      <xdr:col>1</xdr:col>
      <xdr:colOff>790575</xdr:colOff>
      <xdr:row>74</xdr:row>
      <xdr:rowOff>733425</xdr:rowOff>
    </xdr:to>
    <xdr:pic>
      <xdr:nvPicPr>
        <xdr:cNvPr id="9" name="image12.jpg">
          <a:extLst>
            <a:ext uri="{FF2B5EF4-FFF2-40B4-BE49-F238E27FC236}">
              <a16:creationId xmlns:a16="http://schemas.microsoft.com/office/drawing/2014/main" id="{C65244BB-6BD9-43E8-ACBA-A0449D7BE02A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66750" y="592931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73</xdr:row>
      <xdr:rowOff>57150</xdr:rowOff>
    </xdr:from>
    <xdr:to>
      <xdr:col>1</xdr:col>
      <xdr:colOff>800100</xdr:colOff>
      <xdr:row>73</xdr:row>
      <xdr:rowOff>762000</xdr:rowOff>
    </xdr:to>
    <xdr:pic>
      <xdr:nvPicPr>
        <xdr:cNvPr id="10" name="image19.jpg">
          <a:extLst>
            <a:ext uri="{FF2B5EF4-FFF2-40B4-BE49-F238E27FC236}">
              <a16:creationId xmlns:a16="http://schemas.microsoft.com/office/drawing/2014/main" id="{BAB13DC6-F898-4B6E-B5DA-FFA33097A69A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76275" y="58512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72</xdr:row>
      <xdr:rowOff>47625</xdr:rowOff>
    </xdr:from>
    <xdr:to>
      <xdr:col>1</xdr:col>
      <xdr:colOff>819150</xdr:colOff>
      <xdr:row>72</xdr:row>
      <xdr:rowOff>752475</xdr:rowOff>
    </xdr:to>
    <xdr:pic>
      <xdr:nvPicPr>
        <xdr:cNvPr id="11" name="image6.jpg">
          <a:extLst>
            <a:ext uri="{FF2B5EF4-FFF2-40B4-BE49-F238E27FC236}">
              <a16:creationId xmlns:a16="http://schemas.microsoft.com/office/drawing/2014/main" id="{551A4A5D-585C-4E29-A7D6-6C033AA153B3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95325" y="576929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71</xdr:row>
      <xdr:rowOff>47625</xdr:rowOff>
    </xdr:from>
    <xdr:to>
      <xdr:col>1</xdr:col>
      <xdr:colOff>800100</xdr:colOff>
      <xdr:row>71</xdr:row>
      <xdr:rowOff>752475</xdr:rowOff>
    </xdr:to>
    <xdr:pic>
      <xdr:nvPicPr>
        <xdr:cNvPr id="12" name="image7.jpg">
          <a:extLst>
            <a:ext uri="{FF2B5EF4-FFF2-40B4-BE49-F238E27FC236}">
              <a16:creationId xmlns:a16="http://schemas.microsoft.com/office/drawing/2014/main" id="{1A138DBC-EE13-4015-BC0A-EB4E98C5106F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76275" y="56883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70</xdr:row>
      <xdr:rowOff>28575</xdr:rowOff>
    </xdr:from>
    <xdr:to>
      <xdr:col>1</xdr:col>
      <xdr:colOff>809625</xdr:colOff>
      <xdr:row>70</xdr:row>
      <xdr:rowOff>733425</xdr:rowOff>
    </xdr:to>
    <xdr:pic>
      <xdr:nvPicPr>
        <xdr:cNvPr id="13" name="image14.jpg">
          <a:extLst>
            <a:ext uri="{FF2B5EF4-FFF2-40B4-BE49-F238E27FC236}">
              <a16:creationId xmlns:a16="http://schemas.microsoft.com/office/drawing/2014/main" id="{81812530-FBF4-4618-B993-DB3E378C9F69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85800" y="56054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69</xdr:row>
      <xdr:rowOff>38100</xdr:rowOff>
    </xdr:from>
    <xdr:to>
      <xdr:col>1</xdr:col>
      <xdr:colOff>809625</xdr:colOff>
      <xdr:row>69</xdr:row>
      <xdr:rowOff>742950</xdr:rowOff>
    </xdr:to>
    <xdr:pic>
      <xdr:nvPicPr>
        <xdr:cNvPr id="14" name="image5.jpg">
          <a:extLst>
            <a:ext uri="{FF2B5EF4-FFF2-40B4-BE49-F238E27FC236}">
              <a16:creationId xmlns:a16="http://schemas.microsoft.com/office/drawing/2014/main" id="{380BA464-2146-443C-89B8-45325E74BDCD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85800" y="55254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68</xdr:row>
      <xdr:rowOff>47625</xdr:rowOff>
    </xdr:from>
    <xdr:to>
      <xdr:col>1</xdr:col>
      <xdr:colOff>819150</xdr:colOff>
      <xdr:row>68</xdr:row>
      <xdr:rowOff>752475</xdr:rowOff>
    </xdr:to>
    <xdr:pic>
      <xdr:nvPicPr>
        <xdr:cNvPr id="15" name="image1.jpg">
          <a:extLst>
            <a:ext uri="{FF2B5EF4-FFF2-40B4-BE49-F238E27FC236}">
              <a16:creationId xmlns:a16="http://schemas.microsoft.com/office/drawing/2014/main" id="{0CBCCED4-AFAA-4819-BD1F-A9D27DB65A8D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95325" y="54454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67</xdr:row>
      <xdr:rowOff>57150</xdr:rowOff>
    </xdr:from>
    <xdr:to>
      <xdr:col>1</xdr:col>
      <xdr:colOff>790575</xdr:colOff>
      <xdr:row>67</xdr:row>
      <xdr:rowOff>762000</xdr:rowOff>
    </xdr:to>
    <xdr:pic>
      <xdr:nvPicPr>
        <xdr:cNvPr id="16" name="image25.jpg">
          <a:extLst>
            <a:ext uri="{FF2B5EF4-FFF2-40B4-BE49-F238E27FC236}">
              <a16:creationId xmlns:a16="http://schemas.microsoft.com/office/drawing/2014/main" id="{8935773F-3ED2-432C-9697-535345BFC9B3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66750" y="53654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66</xdr:row>
      <xdr:rowOff>47625</xdr:rowOff>
    </xdr:from>
    <xdr:to>
      <xdr:col>1</xdr:col>
      <xdr:colOff>809625</xdr:colOff>
      <xdr:row>66</xdr:row>
      <xdr:rowOff>752475</xdr:rowOff>
    </xdr:to>
    <xdr:pic>
      <xdr:nvPicPr>
        <xdr:cNvPr id="17" name="image24.jpg">
          <a:extLst>
            <a:ext uri="{FF2B5EF4-FFF2-40B4-BE49-F238E27FC236}">
              <a16:creationId xmlns:a16="http://schemas.microsoft.com/office/drawing/2014/main" id="{6157F4FF-8ED3-43B1-88D1-9D1E20ECED0C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85800" y="52835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65</xdr:row>
      <xdr:rowOff>47625</xdr:rowOff>
    </xdr:from>
    <xdr:to>
      <xdr:col>1</xdr:col>
      <xdr:colOff>790575</xdr:colOff>
      <xdr:row>65</xdr:row>
      <xdr:rowOff>752475</xdr:rowOff>
    </xdr:to>
    <xdr:pic>
      <xdr:nvPicPr>
        <xdr:cNvPr id="18" name="image17.jpg">
          <a:extLst>
            <a:ext uri="{FF2B5EF4-FFF2-40B4-BE49-F238E27FC236}">
              <a16:creationId xmlns:a16="http://schemas.microsoft.com/office/drawing/2014/main" id="{C7FF3BC9-BD0A-42A1-B7CB-534E74BECFEE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66750" y="520255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64</xdr:row>
      <xdr:rowOff>28575</xdr:rowOff>
    </xdr:from>
    <xdr:to>
      <xdr:col>1</xdr:col>
      <xdr:colOff>800100</xdr:colOff>
      <xdr:row>64</xdr:row>
      <xdr:rowOff>733425</xdr:rowOff>
    </xdr:to>
    <xdr:pic>
      <xdr:nvPicPr>
        <xdr:cNvPr id="19" name="image20.jpg">
          <a:extLst>
            <a:ext uri="{FF2B5EF4-FFF2-40B4-BE49-F238E27FC236}">
              <a16:creationId xmlns:a16="http://schemas.microsoft.com/office/drawing/2014/main" id="{20985F7C-0EAB-49D0-BDEE-C3C6D344891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76275" y="51196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63</xdr:row>
      <xdr:rowOff>47625</xdr:rowOff>
    </xdr:from>
    <xdr:to>
      <xdr:col>1</xdr:col>
      <xdr:colOff>800100</xdr:colOff>
      <xdr:row>63</xdr:row>
      <xdr:rowOff>752475</xdr:rowOff>
    </xdr:to>
    <xdr:pic>
      <xdr:nvPicPr>
        <xdr:cNvPr id="20" name="image22.jpg">
          <a:extLst>
            <a:ext uri="{FF2B5EF4-FFF2-40B4-BE49-F238E27FC236}">
              <a16:creationId xmlns:a16="http://schemas.microsoft.com/office/drawing/2014/main" id="{EA00C6D2-6D72-49E1-A698-F55979923D38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676275" y="50406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62</xdr:row>
      <xdr:rowOff>57150</xdr:rowOff>
    </xdr:from>
    <xdr:to>
      <xdr:col>1</xdr:col>
      <xdr:colOff>809625</xdr:colOff>
      <xdr:row>62</xdr:row>
      <xdr:rowOff>762000</xdr:rowOff>
    </xdr:to>
    <xdr:pic>
      <xdr:nvPicPr>
        <xdr:cNvPr id="21" name="image18.jpg">
          <a:extLst>
            <a:ext uri="{FF2B5EF4-FFF2-40B4-BE49-F238E27FC236}">
              <a16:creationId xmlns:a16="http://schemas.microsoft.com/office/drawing/2014/main" id="{6075888A-C395-406A-8819-066F55B1AAD2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685800" y="49606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61</xdr:row>
      <xdr:rowOff>47625</xdr:rowOff>
    </xdr:from>
    <xdr:to>
      <xdr:col>1</xdr:col>
      <xdr:colOff>809625</xdr:colOff>
      <xdr:row>61</xdr:row>
      <xdr:rowOff>752475</xdr:rowOff>
    </xdr:to>
    <xdr:pic>
      <xdr:nvPicPr>
        <xdr:cNvPr id="22" name="image9.jpg">
          <a:extLst>
            <a:ext uri="{FF2B5EF4-FFF2-40B4-BE49-F238E27FC236}">
              <a16:creationId xmlns:a16="http://schemas.microsoft.com/office/drawing/2014/main" id="{E4E1B94D-FAE0-410F-86C7-24B15F3AD2F6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685800" y="48787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60</xdr:row>
      <xdr:rowOff>28575</xdr:rowOff>
    </xdr:from>
    <xdr:to>
      <xdr:col>1</xdr:col>
      <xdr:colOff>790575</xdr:colOff>
      <xdr:row>60</xdr:row>
      <xdr:rowOff>733425</xdr:rowOff>
    </xdr:to>
    <xdr:pic>
      <xdr:nvPicPr>
        <xdr:cNvPr id="23" name="image3.jpg">
          <a:extLst>
            <a:ext uri="{FF2B5EF4-FFF2-40B4-BE49-F238E27FC236}">
              <a16:creationId xmlns:a16="http://schemas.microsoft.com/office/drawing/2014/main" id="{5AF0796D-8BA1-4AF7-8051-B38EF975EC85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66750" y="47958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59</xdr:row>
      <xdr:rowOff>28575</xdr:rowOff>
    </xdr:from>
    <xdr:to>
      <xdr:col>1</xdr:col>
      <xdr:colOff>819150</xdr:colOff>
      <xdr:row>59</xdr:row>
      <xdr:rowOff>733425</xdr:rowOff>
    </xdr:to>
    <xdr:pic>
      <xdr:nvPicPr>
        <xdr:cNvPr id="24" name="image15.jpg">
          <a:extLst>
            <a:ext uri="{FF2B5EF4-FFF2-40B4-BE49-F238E27FC236}">
              <a16:creationId xmlns:a16="http://schemas.microsoft.com/office/drawing/2014/main" id="{B612C9B8-F2CF-4BE5-AAEF-885A21E6A609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95325" y="47148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58</xdr:row>
      <xdr:rowOff>47625</xdr:rowOff>
    </xdr:from>
    <xdr:to>
      <xdr:col>1</xdr:col>
      <xdr:colOff>800100</xdr:colOff>
      <xdr:row>58</xdr:row>
      <xdr:rowOff>752475</xdr:rowOff>
    </xdr:to>
    <xdr:pic>
      <xdr:nvPicPr>
        <xdr:cNvPr id="25" name="image13.jpg">
          <a:extLst>
            <a:ext uri="{FF2B5EF4-FFF2-40B4-BE49-F238E27FC236}">
              <a16:creationId xmlns:a16="http://schemas.microsoft.com/office/drawing/2014/main" id="{B8CC73A2-396B-4C67-AD0D-623AAACEEBEF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676275" y="46358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57</xdr:row>
      <xdr:rowOff>38100</xdr:rowOff>
    </xdr:from>
    <xdr:to>
      <xdr:col>1</xdr:col>
      <xdr:colOff>790575</xdr:colOff>
      <xdr:row>57</xdr:row>
      <xdr:rowOff>742950</xdr:rowOff>
    </xdr:to>
    <xdr:pic>
      <xdr:nvPicPr>
        <xdr:cNvPr id="26" name="image4.jpg">
          <a:extLst>
            <a:ext uri="{FF2B5EF4-FFF2-40B4-BE49-F238E27FC236}">
              <a16:creationId xmlns:a16="http://schemas.microsoft.com/office/drawing/2014/main" id="{3E94A562-56AE-4941-AB87-2D4F82956A4A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666750" y="45539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56</xdr:row>
      <xdr:rowOff>38100</xdr:rowOff>
    </xdr:from>
    <xdr:to>
      <xdr:col>1</xdr:col>
      <xdr:colOff>828675</xdr:colOff>
      <xdr:row>56</xdr:row>
      <xdr:rowOff>742950</xdr:rowOff>
    </xdr:to>
    <xdr:pic>
      <xdr:nvPicPr>
        <xdr:cNvPr id="27" name="image28.jpg">
          <a:extLst>
            <a:ext uri="{FF2B5EF4-FFF2-40B4-BE49-F238E27FC236}">
              <a16:creationId xmlns:a16="http://schemas.microsoft.com/office/drawing/2014/main" id="{32E76859-3CFC-47CF-9D55-833BCE9B20E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704850" y="44729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55</xdr:row>
      <xdr:rowOff>28575</xdr:rowOff>
    </xdr:from>
    <xdr:to>
      <xdr:col>1</xdr:col>
      <xdr:colOff>800100</xdr:colOff>
      <xdr:row>55</xdr:row>
      <xdr:rowOff>733425</xdr:rowOff>
    </xdr:to>
    <xdr:pic>
      <xdr:nvPicPr>
        <xdr:cNvPr id="28" name="image32.jpg">
          <a:extLst>
            <a:ext uri="{FF2B5EF4-FFF2-40B4-BE49-F238E27FC236}">
              <a16:creationId xmlns:a16="http://schemas.microsoft.com/office/drawing/2014/main" id="{82BE4CC6-E5AD-43D9-98B6-13F9C15B200C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676275" y="43910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54</xdr:row>
      <xdr:rowOff>57150</xdr:rowOff>
    </xdr:from>
    <xdr:to>
      <xdr:col>1</xdr:col>
      <xdr:colOff>809625</xdr:colOff>
      <xdr:row>54</xdr:row>
      <xdr:rowOff>762000</xdr:rowOff>
    </xdr:to>
    <xdr:pic>
      <xdr:nvPicPr>
        <xdr:cNvPr id="29" name="image29.jpg">
          <a:extLst>
            <a:ext uri="{FF2B5EF4-FFF2-40B4-BE49-F238E27FC236}">
              <a16:creationId xmlns:a16="http://schemas.microsoft.com/office/drawing/2014/main" id="{FB8B9F61-4198-4111-A550-6F0AA999C5CD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685800" y="43129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53</xdr:row>
      <xdr:rowOff>38100</xdr:rowOff>
    </xdr:from>
    <xdr:to>
      <xdr:col>1</xdr:col>
      <xdr:colOff>790575</xdr:colOff>
      <xdr:row>53</xdr:row>
      <xdr:rowOff>742950</xdr:rowOff>
    </xdr:to>
    <xdr:pic>
      <xdr:nvPicPr>
        <xdr:cNvPr id="30" name="image26.jpg">
          <a:extLst>
            <a:ext uri="{FF2B5EF4-FFF2-40B4-BE49-F238E27FC236}">
              <a16:creationId xmlns:a16="http://schemas.microsoft.com/office/drawing/2014/main" id="{B5928755-7740-49C3-8A7D-261DD213494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666750" y="423005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52</xdr:row>
      <xdr:rowOff>47625</xdr:rowOff>
    </xdr:from>
    <xdr:to>
      <xdr:col>1</xdr:col>
      <xdr:colOff>819150</xdr:colOff>
      <xdr:row>52</xdr:row>
      <xdr:rowOff>752475</xdr:rowOff>
    </xdr:to>
    <xdr:pic>
      <xdr:nvPicPr>
        <xdr:cNvPr id="31" name="image46.jpg">
          <a:extLst>
            <a:ext uri="{FF2B5EF4-FFF2-40B4-BE49-F238E27FC236}">
              <a16:creationId xmlns:a16="http://schemas.microsoft.com/office/drawing/2014/main" id="{C835F8F4-A0D1-4C30-87BB-96B6ACB697CB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695325" y="41500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51</xdr:row>
      <xdr:rowOff>38100</xdr:rowOff>
    </xdr:from>
    <xdr:to>
      <xdr:col>1</xdr:col>
      <xdr:colOff>838200</xdr:colOff>
      <xdr:row>51</xdr:row>
      <xdr:rowOff>742950</xdr:rowOff>
    </xdr:to>
    <xdr:pic>
      <xdr:nvPicPr>
        <xdr:cNvPr id="32" name="image51.jpg">
          <a:extLst>
            <a:ext uri="{FF2B5EF4-FFF2-40B4-BE49-F238E27FC236}">
              <a16:creationId xmlns:a16="http://schemas.microsoft.com/office/drawing/2014/main" id="{6A78EA67-53D2-4AC1-A4CA-D3A89A161041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714375" y="40681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50</xdr:row>
      <xdr:rowOff>47625</xdr:rowOff>
    </xdr:from>
    <xdr:to>
      <xdr:col>1</xdr:col>
      <xdr:colOff>790575</xdr:colOff>
      <xdr:row>50</xdr:row>
      <xdr:rowOff>752475</xdr:rowOff>
    </xdr:to>
    <xdr:pic>
      <xdr:nvPicPr>
        <xdr:cNvPr id="33" name="image37.jpg">
          <a:extLst>
            <a:ext uri="{FF2B5EF4-FFF2-40B4-BE49-F238E27FC236}">
              <a16:creationId xmlns:a16="http://schemas.microsoft.com/office/drawing/2014/main" id="{5403F5FD-4F33-425E-B192-AFED1BFCC081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66750" y="39881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49</xdr:row>
      <xdr:rowOff>38100</xdr:rowOff>
    </xdr:from>
    <xdr:to>
      <xdr:col>1</xdr:col>
      <xdr:colOff>828675</xdr:colOff>
      <xdr:row>49</xdr:row>
      <xdr:rowOff>742950</xdr:rowOff>
    </xdr:to>
    <xdr:pic>
      <xdr:nvPicPr>
        <xdr:cNvPr id="34" name="image40.jpg">
          <a:extLst>
            <a:ext uri="{FF2B5EF4-FFF2-40B4-BE49-F238E27FC236}">
              <a16:creationId xmlns:a16="http://schemas.microsoft.com/office/drawing/2014/main" id="{662684F6-5A21-424F-B8A5-4A71FD149ADA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704850" y="39062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48</xdr:row>
      <xdr:rowOff>57150</xdr:rowOff>
    </xdr:from>
    <xdr:to>
      <xdr:col>1</xdr:col>
      <xdr:colOff>809625</xdr:colOff>
      <xdr:row>48</xdr:row>
      <xdr:rowOff>762000</xdr:rowOff>
    </xdr:to>
    <xdr:pic>
      <xdr:nvPicPr>
        <xdr:cNvPr id="35" name="image27.jpg">
          <a:extLst>
            <a:ext uri="{FF2B5EF4-FFF2-40B4-BE49-F238E27FC236}">
              <a16:creationId xmlns:a16="http://schemas.microsoft.com/office/drawing/2014/main" id="{5701DD40-501D-4C4D-804A-B8F3D591CA4E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685800" y="382714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47</xdr:row>
      <xdr:rowOff>47625</xdr:rowOff>
    </xdr:from>
    <xdr:to>
      <xdr:col>1</xdr:col>
      <xdr:colOff>809625</xdr:colOff>
      <xdr:row>47</xdr:row>
      <xdr:rowOff>752475</xdr:rowOff>
    </xdr:to>
    <xdr:pic>
      <xdr:nvPicPr>
        <xdr:cNvPr id="36" name="image33.jpg">
          <a:extLst>
            <a:ext uri="{FF2B5EF4-FFF2-40B4-BE49-F238E27FC236}">
              <a16:creationId xmlns:a16="http://schemas.microsoft.com/office/drawing/2014/main" id="{06992F77-5A18-4263-8DA1-3196EF4DDE55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685800" y="37452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46</xdr:row>
      <xdr:rowOff>38100</xdr:rowOff>
    </xdr:from>
    <xdr:to>
      <xdr:col>1</xdr:col>
      <xdr:colOff>790575</xdr:colOff>
      <xdr:row>46</xdr:row>
      <xdr:rowOff>742950</xdr:rowOff>
    </xdr:to>
    <xdr:pic>
      <xdr:nvPicPr>
        <xdr:cNvPr id="37" name="image50.jpg">
          <a:extLst>
            <a:ext uri="{FF2B5EF4-FFF2-40B4-BE49-F238E27FC236}">
              <a16:creationId xmlns:a16="http://schemas.microsoft.com/office/drawing/2014/main" id="{FFF870A8-351F-45FC-8AD3-A9EF2B64DD8D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666750" y="36633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45</xdr:row>
      <xdr:rowOff>47625</xdr:rowOff>
    </xdr:from>
    <xdr:to>
      <xdr:col>1</xdr:col>
      <xdr:colOff>781050</xdr:colOff>
      <xdr:row>45</xdr:row>
      <xdr:rowOff>752475</xdr:rowOff>
    </xdr:to>
    <xdr:pic>
      <xdr:nvPicPr>
        <xdr:cNvPr id="38" name="image35.jpg">
          <a:extLst>
            <a:ext uri="{FF2B5EF4-FFF2-40B4-BE49-F238E27FC236}">
              <a16:creationId xmlns:a16="http://schemas.microsoft.com/office/drawing/2014/main" id="{883C3464-0539-44F4-8F0F-4D0B42D1EABB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657225" y="35833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44</xdr:row>
      <xdr:rowOff>38100</xdr:rowOff>
    </xdr:from>
    <xdr:to>
      <xdr:col>1</xdr:col>
      <xdr:colOff>819150</xdr:colOff>
      <xdr:row>44</xdr:row>
      <xdr:rowOff>742950</xdr:rowOff>
    </xdr:to>
    <xdr:pic>
      <xdr:nvPicPr>
        <xdr:cNvPr id="39" name="image36.jpg">
          <a:extLst>
            <a:ext uri="{FF2B5EF4-FFF2-40B4-BE49-F238E27FC236}">
              <a16:creationId xmlns:a16="http://schemas.microsoft.com/office/drawing/2014/main" id="{7B92E3A9-1C38-4D49-A5BC-E7FF2E59DDEC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695325" y="35013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43</xdr:row>
      <xdr:rowOff>38100</xdr:rowOff>
    </xdr:from>
    <xdr:to>
      <xdr:col>1</xdr:col>
      <xdr:colOff>781050</xdr:colOff>
      <xdr:row>43</xdr:row>
      <xdr:rowOff>742950</xdr:rowOff>
    </xdr:to>
    <xdr:pic>
      <xdr:nvPicPr>
        <xdr:cNvPr id="40" name="image34.jpg">
          <a:extLst>
            <a:ext uri="{FF2B5EF4-FFF2-40B4-BE49-F238E27FC236}">
              <a16:creationId xmlns:a16="http://schemas.microsoft.com/office/drawing/2014/main" id="{F364F4F6-AA29-41B7-825A-9F4D426A648F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657225" y="34204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42</xdr:row>
      <xdr:rowOff>57150</xdr:rowOff>
    </xdr:from>
    <xdr:to>
      <xdr:col>1</xdr:col>
      <xdr:colOff>790575</xdr:colOff>
      <xdr:row>42</xdr:row>
      <xdr:rowOff>762000</xdr:rowOff>
    </xdr:to>
    <xdr:pic>
      <xdr:nvPicPr>
        <xdr:cNvPr id="41" name="image42.jpg">
          <a:extLst>
            <a:ext uri="{FF2B5EF4-FFF2-40B4-BE49-F238E27FC236}">
              <a16:creationId xmlns:a16="http://schemas.microsoft.com/office/drawing/2014/main" id="{57271191-5CDF-484F-B0F1-CF11F8BD8DF1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666750" y="334137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41</xdr:row>
      <xdr:rowOff>57150</xdr:rowOff>
    </xdr:from>
    <xdr:to>
      <xdr:col>1</xdr:col>
      <xdr:colOff>809625</xdr:colOff>
      <xdr:row>41</xdr:row>
      <xdr:rowOff>762000</xdr:rowOff>
    </xdr:to>
    <xdr:pic>
      <xdr:nvPicPr>
        <xdr:cNvPr id="42" name="image31.jpg">
          <a:extLst>
            <a:ext uri="{FF2B5EF4-FFF2-40B4-BE49-F238E27FC236}">
              <a16:creationId xmlns:a16="http://schemas.microsoft.com/office/drawing/2014/main" id="{A8DC7BD8-B300-4679-BB61-6FAA719B161F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85800" y="326040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40</xdr:row>
      <xdr:rowOff>38100</xdr:rowOff>
    </xdr:from>
    <xdr:to>
      <xdr:col>1</xdr:col>
      <xdr:colOff>809625</xdr:colOff>
      <xdr:row>40</xdr:row>
      <xdr:rowOff>742950</xdr:rowOff>
    </xdr:to>
    <xdr:pic>
      <xdr:nvPicPr>
        <xdr:cNvPr id="43" name="image30.jpg">
          <a:extLst>
            <a:ext uri="{FF2B5EF4-FFF2-40B4-BE49-F238E27FC236}">
              <a16:creationId xmlns:a16="http://schemas.microsoft.com/office/drawing/2014/main" id="{2353493F-4CBB-40B6-930E-47A70876D97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685800" y="31775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39</xdr:row>
      <xdr:rowOff>47625</xdr:rowOff>
    </xdr:from>
    <xdr:to>
      <xdr:col>1</xdr:col>
      <xdr:colOff>819150</xdr:colOff>
      <xdr:row>39</xdr:row>
      <xdr:rowOff>752475</xdr:rowOff>
    </xdr:to>
    <xdr:pic>
      <xdr:nvPicPr>
        <xdr:cNvPr id="44" name="image39.jpg">
          <a:extLst>
            <a:ext uri="{FF2B5EF4-FFF2-40B4-BE49-F238E27FC236}">
              <a16:creationId xmlns:a16="http://schemas.microsoft.com/office/drawing/2014/main" id="{1BF1D6E7-6450-4108-8ED1-B71817E0216B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695325" y="309753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38</xdr:row>
      <xdr:rowOff>57150</xdr:rowOff>
    </xdr:from>
    <xdr:to>
      <xdr:col>1</xdr:col>
      <xdr:colOff>800100</xdr:colOff>
      <xdr:row>38</xdr:row>
      <xdr:rowOff>762000</xdr:rowOff>
    </xdr:to>
    <xdr:pic>
      <xdr:nvPicPr>
        <xdr:cNvPr id="45" name="image38.jpg">
          <a:extLst>
            <a:ext uri="{FF2B5EF4-FFF2-40B4-BE49-F238E27FC236}">
              <a16:creationId xmlns:a16="http://schemas.microsoft.com/office/drawing/2014/main" id="{D38050DC-5854-4504-8025-8223ED334D45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676275" y="301752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37</xdr:row>
      <xdr:rowOff>28575</xdr:rowOff>
    </xdr:from>
    <xdr:to>
      <xdr:col>1</xdr:col>
      <xdr:colOff>781050</xdr:colOff>
      <xdr:row>37</xdr:row>
      <xdr:rowOff>733425</xdr:rowOff>
    </xdr:to>
    <xdr:pic>
      <xdr:nvPicPr>
        <xdr:cNvPr id="46" name="image44.jpg">
          <a:extLst>
            <a:ext uri="{FF2B5EF4-FFF2-40B4-BE49-F238E27FC236}">
              <a16:creationId xmlns:a16="http://schemas.microsoft.com/office/drawing/2014/main" id="{3C99FE7F-76E7-47D0-944E-9D07393E70AA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657225" y="29337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36</xdr:row>
      <xdr:rowOff>38100</xdr:rowOff>
    </xdr:from>
    <xdr:to>
      <xdr:col>1</xdr:col>
      <xdr:colOff>800100</xdr:colOff>
      <xdr:row>36</xdr:row>
      <xdr:rowOff>742950</xdr:rowOff>
    </xdr:to>
    <xdr:pic>
      <xdr:nvPicPr>
        <xdr:cNvPr id="47" name="image41.jpg">
          <a:extLst>
            <a:ext uri="{FF2B5EF4-FFF2-40B4-BE49-F238E27FC236}">
              <a16:creationId xmlns:a16="http://schemas.microsoft.com/office/drawing/2014/main" id="{AB1DB8D5-D658-42A5-A209-4305EB5038BB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676275" y="28536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35</xdr:row>
      <xdr:rowOff>57150</xdr:rowOff>
    </xdr:from>
    <xdr:to>
      <xdr:col>1</xdr:col>
      <xdr:colOff>809625</xdr:colOff>
      <xdr:row>35</xdr:row>
      <xdr:rowOff>762000</xdr:rowOff>
    </xdr:to>
    <xdr:pic>
      <xdr:nvPicPr>
        <xdr:cNvPr id="48" name="image43.jpg">
          <a:extLst>
            <a:ext uri="{FF2B5EF4-FFF2-40B4-BE49-F238E27FC236}">
              <a16:creationId xmlns:a16="http://schemas.microsoft.com/office/drawing/2014/main" id="{CF33F272-056F-40BD-9778-A54E3DAB731F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27746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34</xdr:row>
      <xdr:rowOff>9525</xdr:rowOff>
    </xdr:from>
    <xdr:to>
      <xdr:col>1</xdr:col>
      <xdr:colOff>790575</xdr:colOff>
      <xdr:row>34</xdr:row>
      <xdr:rowOff>723900</xdr:rowOff>
    </xdr:to>
    <xdr:pic>
      <xdr:nvPicPr>
        <xdr:cNvPr id="49" name="image45.jpg">
          <a:extLst>
            <a:ext uri="{FF2B5EF4-FFF2-40B4-BE49-F238E27FC236}">
              <a16:creationId xmlns:a16="http://schemas.microsoft.com/office/drawing/2014/main" id="{8C6680F2-7CB1-4E1D-A227-3B14235ECEC5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666750" y="268890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33</xdr:row>
      <xdr:rowOff>19050</xdr:rowOff>
    </xdr:from>
    <xdr:to>
      <xdr:col>1</xdr:col>
      <xdr:colOff>819150</xdr:colOff>
      <xdr:row>33</xdr:row>
      <xdr:rowOff>733425</xdr:rowOff>
    </xdr:to>
    <xdr:pic>
      <xdr:nvPicPr>
        <xdr:cNvPr id="50" name="image47.jpg">
          <a:extLst>
            <a:ext uri="{FF2B5EF4-FFF2-40B4-BE49-F238E27FC236}">
              <a16:creationId xmlns:a16="http://schemas.microsoft.com/office/drawing/2014/main" id="{AC5B4FC4-099F-4F5D-8204-4F233F9A0236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695325" y="2608897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32</xdr:row>
      <xdr:rowOff>19050</xdr:rowOff>
    </xdr:from>
    <xdr:to>
      <xdr:col>1</xdr:col>
      <xdr:colOff>809625</xdr:colOff>
      <xdr:row>32</xdr:row>
      <xdr:rowOff>733425</xdr:rowOff>
    </xdr:to>
    <xdr:pic>
      <xdr:nvPicPr>
        <xdr:cNvPr id="51" name="image48.jpg">
          <a:extLst>
            <a:ext uri="{FF2B5EF4-FFF2-40B4-BE49-F238E27FC236}">
              <a16:creationId xmlns:a16="http://schemas.microsoft.com/office/drawing/2014/main" id="{5BF514A0-B2C1-4284-9D86-D2DFB83E49C3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685800" y="25279350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31</xdr:row>
      <xdr:rowOff>19050</xdr:rowOff>
    </xdr:from>
    <xdr:to>
      <xdr:col>1</xdr:col>
      <xdr:colOff>828675</xdr:colOff>
      <xdr:row>31</xdr:row>
      <xdr:rowOff>733425</xdr:rowOff>
    </xdr:to>
    <xdr:pic>
      <xdr:nvPicPr>
        <xdr:cNvPr id="52" name="image72.jpg">
          <a:extLst>
            <a:ext uri="{FF2B5EF4-FFF2-40B4-BE49-F238E27FC236}">
              <a16:creationId xmlns:a16="http://schemas.microsoft.com/office/drawing/2014/main" id="{D0EEE9A3-F1D9-4ED5-AE24-CE851009546D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704850" y="24469725"/>
          <a:ext cx="733425" cy="714375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30</xdr:row>
      <xdr:rowOff>38100</xdr:rowOff>
    </xdr:from>
    <xdr:to>
      <xdr:col>1</xdr:col>
      <xdr:colOff>809625</xdr:colOff>
      <xdr:row>30</xdr:row>
      <xdr:rowOff>742950</xdr:rowOff>
    </xdr:to>
    <xdr:pic>
      <xdr:nvPicPr>
        <xdr:cNvPr id="53" name="image52.jpg">
          <a:extLst>
            <a:ext uri="{FF2B5EF4-FFF2-40B4-BE49-F238E27FC236}">
              <a16:creationId xmlns:a16="http://schemas.microsoft.com/office/drawing/2014/main" id="{00DA2298-A19B-48D7-9DF6-DCE99351009A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685800" y="236791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29</xdr:row>
      <xdr:rowOff>47625</xdr:rowOff>
    </xdr:from>
    <xdr:to>
      <xdr:col>1</xdr:col>
      <xdr:colOff>790575</xdr:colOff>
      <xdr:row>29</xdr:row>
      <xdr:rowOff>752475</xdr:rowOff>
    </xdr:to>
    <xdr:pic>
      <xdr:nvPicPr>
        <xdr:cNvPr id="54" name="image56.jpg">
          <a:extLst>
            <a:ext uri="{FF2B5EF4-FFF2-40B4-BE49-F238E27FC236}">
              <a16:creationId xmlns:a16="http://schemas.microsoft.com/office/drawing/2014/main" id="{D1B4C99E-401D-4A0B-87B4-68A551D32C07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666750" y="228790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28</xdr:row>
      <xdr:rowOff>28575</xdr:rowOff>
    </xdr:from>
    <xdr:to>
      <xdr:col>1</xdr:col>
      <xdr:colOff>800100</xdr:colOff>
      <xdr:row>28</xdr:row>
      <xdr:rowOff>733425</xdr:rowOff>
    </xdr:to>
    <xdr:pic>
      <xdr:nvPicPr>
        <xdr:cNvPr id="55" name="image54.jpg">
          <a:extLst>
            <a:ext uri="{FF2B5EF4-FFF2-40B4-BE49-F238E27FC236}">
              <a16:creationId xmlns:a16="http://schemas.microsoft.com/office/drawing/2014/main" id="{D0658B1E-C1BE-4EA7-AE44-412FDE7E2CFF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676275" y="22050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27</xdr:row>
      <xdr:rowOff>38100</xdr:rowOff>
    </xdr:from>
    <xdr:to>
      <xdr:col>1</xdr:col>
      <xdr:colOff>819150</xdr:colOff>
      <xdr:row>27</xdr:row>
      <xdr:rowOff>742950</xdr:rowOff>
    </xdr:to>
    <xdr:pic>
      <xdr:nvPicPr>
        <xdr:cNvPr id="56" name="image53.jpg">
          <a:extLst>
            <a:ext uri="{FF2B5EF4-FFF2-40B4-BE49-F238E27FC236}">
              <a16:creationId xmlns:a16="http://schemas.microsoft.com/office/drawing/2014/main" id="{DA8C0E19-A85B-49B4-BF4E-E27AB4673B32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695325" y="21250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26</xdr:row>
      <xdr:rowOff>38100</xdr:rowOff>
    </xdr:from>
    <xdr:to>
      <xdr:col>1</xdr:col>
      <xdr:colOff>819150</xdr:colOff>
      <xdr:row>26</xdr:row>
      <xdr:rowOff>742950</xdr:rowOff>
    </xdr:to>
    <xdr:pic>
      <xdr:nvPicPr>
        <xdr:cNvPr id="57" name="image49.jpg">
          <a:extLst>
            <a:ext uri="{FF2B5EF4-FFF2-40B4-BE49-F238E27FC236}">
              <a16:creationId xmlns:a16="http://schemas.microsoft.com/office/drawing/2014/main" id="{63BB0523-BB4A-4DBB-9D35-2FC9A493BE34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695325" y="20440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25</xdr:row>
      <xdr:rowOff>28575</xdr:rowOff>
    </xdr:from>
    <xdr:to>
      <xdr:col>1</xdr:col>
      <xdr:colOff>790575</xdr:colOff>
      <xdr:row>25</xdr:row>
      <xdr:rowOff>733425</xdr:rowOff>
    </xdr:to>
    <xdr:pic>
      <xdr:nvPicPr>
        <xdr:cNvPr id="58" name="image63.jpg">
          <a:extLst>
            <a:ext uri="{FF2B5EF4-FFF2-40B4-BE49-F238E27FC236}">
              <a16:creationId xmlns:a16="http://schemas.microsoft.com/office/drawing/2014/main" id="{8FA6CF2B-DC5D-41D3-8B2F-C0B60DCB7CC5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666750" y="196215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24</xdr:row>
      <xdr:rowOff>28575</xdr:rowOff>
    </xdr:from>
    <xdr:to>
      <xdr:col>1</xdr:col>
      <xdr:colOff>790575</xdr:colOff>
      <xdr:row>24</xdr:row>
      <xdr:rowOff>733425</xdr:rowOff>
    </xdr:to>
    <xdr:pic>
      <xdr:nvPicPr>
        <xdr:cNvPr id="59" name="image59.jpg">
          <a:extLst>
            <a:ext uri="{FF2B5EF4-FFF2-40B4-BE49-F238E27FC236}">
              <a16:creationId xmlns:a16="http://schemas.microsoft.com/office/drawing/2014/main" id="{4D08CC07-CFBF-4756-A7D4-E1191F94DB56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666750" y="18811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47625</xdr:colOff>
      <xdr:row>23</xdr:row>
      <xdr:rowOff>38100</xdr:rowOff>
    </xdr:from>
    <xdr:to>
      <xdr:col>1</xdr:col>
      <xdr:colOff>781050</xdr:colOff>
      <xdr:row>23</xdr:row>
      <xdr:rowOff>742950</xdr:rowOff>
    </xdr:to>
    <xdr:pic>
      <xdr:nvPicPr>
        <xdr:cNvPr id="60" name="image58.jpg">
          <a:extLst>
            <a:ext uri="{FF2B5EF4-FFF2-40B4-BE49-F238E27FC236}">
              <a16:creationId xmlns:a16="http://schemas.microsoft.com/office/drawing/2014/main" id="{01352C1F-4A63-46B2-876D-731BDD6F51E1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657225" y="18011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22</xdr:row>
      <xdr:rowOff>47625</xdr:rowOff>
    </xdr:from>
    <xdr:to>
      <xdr:col>1</xdr:col>
      <xdr:colOff>809625</xdr:colOff>
      <xdr:row>22</xdr:row>
      <xdr:rowOff>752475</xdr:rowOff>
    </xdr:to>
    <xdr:pic>
      <xdr:nvPicPr>
        <xdr:cNvPr id="61" name="image66.jpg">
          <a:extLst>
            <a:ext uri="{FF2B5EF4-FFF2-40B4-BE49-F238E27FC236}">
              <a16:creationId xmlns:a16="http://schemas.microsoft.com/office/drawing/2014/main" id="{23DCB04A-07D2-4ECD-9392-AAB070FAF7AF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685800" y="17211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21</xdr:row>
      <xdr:rowOff>28575</xdr:rowOff>
    </xdr:from>
    <xdr:to>
      <xdr:col>1</xdr:col>
      <xdr:colOff>800100</xdr:colOff>
      <xdr:row>21</xdr:row>
      <xdr:rowOff>733425</xdr:rowOff>
    </xdr:to>
    <xdr:pic>
      <xdr:nvPicPr>
        <xdr:cNvPr id="62" name="image55.jpg">
          <a:extLst>
            <a:ext uri="{FF2B5EF4-FFF2-40B4-BE49-F238E27FC236}">
              <a16:creationId xmlns:a16="http://schemas.microsoft.com/office/drawing/2014/main" id="{4C449179-9375-4DF2-ACAF-D07B196E70EB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676275" y="16383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104775</xdr:colOff>
      <xdr:row>20</xdr:row>
      <xdr:rowOff>47625</xdr:rowOff>
    </xdr:from>
    <xdr:to>
      <xdr:col>1</xdr:col>
      <xdr:colOff>838200</xdr:colOff>
      <xdr:row>20</xdr:row>
      <xdr:rowOff>752475</xdr:rowOff>
    </xdr:to>
    <xdr:pic>
      <xdr:nvPicPr>
        <xdr:cNvPr id="63" name="image61.jpg">
          <a:extLst>
            <a:ext uri="{FF2B5EF4-FFF2-40B4-BE49-F238E27FC236}">
              <a16:creationId xmlns:a16="http://schemas.microsoft.com/office/drawing/2014/main" id="{B401C5D1-8177-45E3-A95A-B9B360181653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714375" y="155924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19</xdr:row>
      <xdr:rowOff>38100</xdr:rowOff>
    </xdr:from>
    <xdr:to>
      <xdr:col>1</xdr:col>
      <xdr:colOff>828675</xdr:colOff>
      <xdr:row>19</xdr:row>
      <xdr:rowOff>742950</xdr:rowOff>
    </xdr:to>
    <xdr:pic>
      <xdr:nvPicPr>
        <xdr:cNvPr id="64" name="image60.jpg">
          <a:extLst>
            <a:ext uri="{FF2B5EF4-FFF2-40B4-BE49-F238E27FC236}">
              <a16:creationId xmlns:a16="http://schemas.microsoft.com/office/drawing/2014/main" id="{5BF0D0FC-3773-49CB-BBD6-3C003D3F2E27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704850" y="147732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18</xdr:row>
      <xdr:rowOff>47625</xdr:rowOff>
    </xdr:from>
    <xdr:to>
      <xdr:col>1</xdr:col>
      <xdr:colOff>800100</xdr:colOff>
      <xdr:row>18</xdr:row>
      <xdr:rowOff>752475</xdr:rowOff>
    </xdr:to>
    <xdr:pic>
      <xdr:nvPicPr>
        <xdr:cNvPr id="65" name="image57.jpg">
          <a:extLst>
            <a:ext uri="{FF2B5EF4-FFF2-40B4-BE49-F238E27FC236}">
              <a16:creationId xmlns:a16="http://schemas.microsoft.com/office/drawing/2014/main" id="{253B722A-5A5B-4E16-83B9-2BA96E77EBD1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676275" y="139731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17</xdr:row>
      <xdr:rowOff>38100</xdr:rowOff>
    </xdr:from>
    <xdr:to>
      <xdr:col>1</xdr:col>
      <xdr:colOff>800100</xdr:colOff>
      <xdr:row>17</xdr:row>
      <xdr:rowOff>742950</xdr:rowOff>
    </xdr:to>
    <xdr:pic>
      <xdr:nvPicPr>
        <xdr:cNvPr id="66" name="image62.jpg">
          <a:extLst>
            <a:ext uri="{FF2B5EF4-FFF2-40B4-BE49-F238E27FC236}">
              <a16:creationId xmlns:a16="http://schemas.microsoft.com/office/drawing/2014/main" id="{5B5F5409-AF4D-496A-B999-721FCABDF673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676275" y="13154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85725</xdr:colOff>
      <xdr:row>16</xdr:row>
      <xdr:rowOff>38100</xdr:rowOff>
    </xdr:from>
    <xdr:to>
      <xdr:col>1</xdr:col>
      <xdr:colOff>819150</xdr:colOff>
      <xdr:row>16</xdr:row>
      <xdr:rowOff>742950</xdr:rowOff>
    </xdr:to>
    <xdr:pic>
      <xdr:nvPicPr>
        <xdr:cNvPr id="67" name="image64.jpg">
          <a:extLst>
            <a:ext uri="{FF2B5EF4-FFF2-40B4-BE49-F238E27FC236}">
              <a16:creationId xmlns:a16="http://schemas.microsoft.com/office/drawing/2014/main" id="{A52F23A9-26CC-44B6-BAC5-8DC9084ED161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695325" y="123444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15</xdr:row>
      <xdr:rowOff>28575</xdr:rowOff>
    </xdr:from>
    <xdr:to>
      <xdr:col>1</xdr:col>
      <xdr:colOff>800100</xdr:colOff>
      <xdr:row>15</xdr:row>
      <xdr:rowOff>733425</xdr:rowOff>
    </xdr:to>
    <xdr:pic>
      <xdr:nvPicPr>
        <xdr:cNvPr id="68" name="image65.jpg">
          <a:extLst>
            <a:ext uri="{FF2B5EF4-FFF2-40B4-BE49-F238E27FC236}">
              <a16:creationId xmlns:a16="http://schemas.microsoft.com/office/drawing/2014/main" id="{578409D5-7678-4099-9ECA-E745F0FBA7C8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676275" y="115252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14</xdr:row>
      <xdr:rowOff>28575</xdr:rowOff>
    </xdr:from>
    <xdr:to>
      <xdr:col>1</xdr:col>
      <xdr:colOff>809625</xdr:colOff>
      <xdr:row>14</xdr:row>
      <xdr:rowOff>733425</xdr:rowOff>
    </xdr:to>
    <xdr:pic>
      <xdr:nvPicPr>
        <xdr:cNvPr id="69" name="image67.jpg">
          <a:extLst>
            <a:ext uri="{FF2B5EF4-FFF2-40B4-BE49-F238E27FC236}">
              <a16:creationId xmlns:a16="http://schemas.microsoft.com/office/drawing/2014/main" id="{5842E74D-FCA9-4740-BCEC-C62FB0755389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685800" y="107156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95250</xdr:colOff>
      <xdr:row>13</xdr:row>
      <xdr:rowOff>28575</xdr:rowOff>
    </xdr:from>
    <xdr:to>
      <xdr:col>1</xdr:col>
      <xdr:colOff>828675</xdr:colOff>
      <xdr:row>13</xdr:row>
      <xdr:rowOff>733425</xdr:rowOff>
    </xdr:to>
    <xdr:pic>
      <xdr:nvPicPr>
        <xdr:cNvPr id="70" name="image69.jpg">
          <a:extLst>
            <a:ext uri="{FF2B5EF4-FFF2-40B4-BE49-F238E27FC236}">
              <a16:creationId xmlns:a16="http://schemas.microsoft.com/office/drawing/2014/main" id="{3AA07509-C237-41CB-AAD3-0688E2A6F77B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704850" y="9906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12</xdr:row>
      <xdr:rowOff>38100</xdr:rowOff>
    </xdr:from>
    <xdr:to>
      <xdr:col>1</xdr:col>
      <xdr:colOff>790575</xdr:colOff>
      <xdr:row>12</xdr:row>
      <xdr:rowOff>742950</xdr:rowOff>
    </xdr:to>
    <xdr:pic>
      <xdr:nvPicPr>
        <xdr:cNvPr id="71" name="image68.jpg">
          <a:extLst>
            <a:ext uri="{FF2B5EF4-FFF2-40B4-BE49-F238E27FC236}">
              <a16:creationId xmlns:a16="http://schemas.microsoft.com/office/drawing/2014/main" id="{D1AD43A9-B985-474C-9E26-C13734FCFD9B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666750" y="91059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11</xdr:row>
      <xdr:rowOff>28575</xdr:rowOff>
    </xdr:from>
    <xdr:to>
      <xdr:col>1</xdr:col>
      <xdr:colOff>790575</xdr:colOff>
      <xdr:row>11</xdr:row>
      <xdr:rowOff>733425</xdr:rowOff>
    </xdr:to>
    <xdr:pic>
      <xdr:nvPicPr>
        <xdr:cNvPr id="72" name="image74.jpg">
          <a:extLst>
            <a:ext uri="{FF2B5EF4-FFF2-40B4-BE49-F238E27FC236}">
              <a16:creationId xmlns:a16="http://schemas.microsoft.com/office/drawing/2014/main" id="{93BD2709-E511-4413-BE8B-C8BB69FCCA7C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666750" y="82867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10</xdr:row>
      <xdr:rowOff>38100</xdr:rowOff>
    </xdr:from>
    <xdr:to>
      <xdr:col>1</xdr:col>
      <xdr:colOff>790575</xdr:colOff>
      <xdr:row>10</xdr:row>
      <xdr:rowOff>742950</xdr:rowOff>
    </xdr:to>
    <xdr:pic>
      <xdr:nvPicPr>
        <xdr:cNvPr id="73" name="image73.jpg">
          <a:extLst>
            <a:ext uri="{FF2B5EF4-FFF2-40B4-BE49-F238E27FC236}">
              <a16:creationId xmlns:a16="http://schemas.microsoft.com/office/drawing/2014/main" id="{83630CB0-EFF6-44F2-ACF4-9AF06B4ED242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666750" y="7486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9</xdr:row>
      <xdr:rowOff>38100</xdr:rowOff>
    </xdr:from>
    <xdr:to>
      <xdr:col>1</xdr:col>
      <xdr:colOff>809625</xdr:colOff>
      <xdr:row>9</xdr:row>
      <xdr:rowOff>742950</xdr:rowOff>
    </xdr:to>
    <xdr:pic>
      <xdr:nvPicPr>
        <xdr:cNvPr id="74" name="image70.jpg">
          <a:extLst>
            <a:ext uri="{FF2B5EF4-FFF2-40B4-BE49-F238E27FC236}">
              <a16:creationId xmlns:a16="http://schemas.microsoft.com/office/drawing/2014/main" id="{927BF82A-1175-4BA8-BE14-D8C5174FA4EF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685800" y="66770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8</xdr:row>
      <xdr:rowOff>28575</xdr:rowOff>
    </xdr:from>
    <xdr:to>
      <xdr:col>1</xdr:col>
      <xdr:colOff>800100</xdr:colOff>
      <xdr:row>8</xdr:row>
      <xdr:rowOff>733425</xdr:rowOff>
    </xdr:to>
    <xdr:pic>
      <xdr:nvPicPr>
        <xdr:cNvPr id="75" name="image81.jpg">
          <a:extLst>
            <a:ext uri="{FF2B5EF4-FFF2-40B4-BE49-F238E27FC236}">
              <a16:creationId xmlns:a16="http://schemas.microsoft.com/office/drawing/2014/main" id="{C5DD211F-7943-48AA-869B-E0496559FC95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676275" y="58578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7</xdr:row>
      <xdr:rowOff>38100</xdr:rowOff>
    </xdr:from>
    <xdr:to>
      <xdr:col>1</xdr:col>
      <xdr:colOff>809625</xdr:colOff>
      <xdr:row>7</xdr:row>
      <xdr:rowOff>742950</xdr:rowOff>
    </xdr:to>
    <xdr:pic>
      <xdr:nvPicPr>
        <xdr:cNvPr id="76" name="image71.jpg">
          <a:extLst>
            <a:ext uri="{FF2B5EF4-FFF2-40B4-BE49-F238E27FC236}">
              <a16:creationId xmlns:a16="http://schemas.microsoft.com/office/drawing/2014/main" id="{D733D041-07DC-4035-9BF7-027A1ADB8469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685800" y="50577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6</xdr:row>
      <xdr:rowOff>47625</xdr:rowOff>
    </xdr:from>
    <xdr:to>
      <xdr:col>1</xdr:col>
      <xdr:colOff>809625</xdr:colOff>
      <xdr:row>6</xdr:row>
      <xdr:rowOff>752475</xdr:rowOff>
    </xdr:to>
    <xdr:pic>
      <xdr:nvPicPr>
        <xdr:cNvPr id="77" name="image77.jpg">
          <a:extLst>
            <a:ext uri="{FF2B5EF4-FFF2-40B4-BE49-F238E27FC236}">
              <a16:creationId xmlns:a16="http://schemas.microsoft.com/office/drawing/2014/main" id="{166858E3-DE8F-4D18-B41E-ED1B01AA34D3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685800" y="42576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5</xdr:row>
      <xdr:rowOff>28575</xdr:rowOff>
    </xdr:from>
    <xdr:to>
      <xdr:col>1</xdr:col>
      <xdr:colOff>800100</xdr:colOff>
      <xdr:row>5</xdr:row>
      <xdr:rowOff>733425</xdr:rowOff>
    </xdr:to>
    <xdr:pic>
      <xdr:nvPicPr>
        <xdr:cNvPr id="78" name="image75.jpg">
          <a:extLst>
            <a:ext uri="{FF2B5EF4-FFF2-40B4-BE49-F238E27FC236}">
              <a16:creationId xmlns:a16="http://schemas.microsoft.com/office/drawing/2014/main" id="{92CBF1CA-1267-4C57-8DCF-A7D146C3BB7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676275" y="342900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4</xdr:row>
      <xdr:rowOff>28575</xdr:rowOff>
    </xdr:from>
    <xdr:to>
      <xdr:col>1</xdr:col>
      <xdr:colOff>809625</xdr:colOff>
      <xdr:row>4</xdr:row>
      <xdr:rowOff>733425</xdr:rowOff>
    </xdr:to>
    <xdr:pic>
      <xdr:nvPicPr>
        <xdr:cNvPr id="79" name="image76.jpg">
          <a:extLst>
            <a:ext uri="{FF2B5EF4-FFF2-40B4-BE49-F238E27FC236}">
              <a16:creationId xmlns:a16="http://schemas.microsoft.com/office/drawing/2014/main" id="{E37478AE-95F0-426D-A193-F553AE4A7C58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685800" y="261937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76200</xdr:colOff>
      <xdr:row>3</xdr:row>
      <xdr:rowOff>57150</xdr:rowOff>
    </xdr:from>
    <xdr:to>
      <xdr:col>1</xdr:col>
      <xdr:colOff>809625</xdr:colOff>
      <xdr:row>3</xdr:row>
      <xdr:rowOff>762000</xdr:rowOff>
    </xdr:to>
    <xdr:pic>
      <xdr:nvPicPr>
        <xdr:cNvPr id="80" name="image79.jpg">
          <a:extLst>
            <a:ext uri="{FF2B5EF4-FFF2-40B4-BE49-F238E27FC236}">
              <a16:creationId xmlns:a16="http://schemas.microsoft.com/office/drawing/2014/main" id="{8690391F-75DC-4DB6-9A26-7AFB3754AD32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685800" y="1838325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66675</xdr:colOff>
      <xdr:row>2</xdr:row>
      <xdr:rowOff>38100</xdr:rowOff>
    </xdr:from>
    <xdr:to>
      <xdr:col>1</xdr:col>
      <xdr:colOff>800100</xdr:colOff>
      <xdr:row>2</xdr:row>
      <xdr:rowOff>742950</xdr:rowOff>
    </xdr:to>
    <xdr:pic>
      <xdr:nvPicPr>
        <xdr:cNvPr id="81" name="image80.jpg">
          <a:extLst>
            <a:ext uri="{FF2B5EF4-FFF2-40B4-BE49-F238E27FC236}">
              <a16:creationId xmlns:a16="http://schemas.microsoft.com/office/drawing/2014/main" id="{297A0363-AD9C-4C0F-A86B-12E88C864F35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676275" y="1009650"/>
          <a:ext cx="733425" cy="704850"/>
        </a:xfrm>
        <a:prstGeom prst="rect">
          <a:avLst/>
        </a:prstGeom>
        <a:noFill/>
      </xdr:spPr>
    </xdr:pic>
    <xdr:clientData fLocksWithSheet="0"/>
  </xdr:twoCellAnchor>
  <xdr:twoCellAnchor>
    <xdr:from>
      <xdr:col>1</xdr:col>
      <xdr:colOff>57150</xdr:colOff>
      <xdr:row>1</xdr:row>
      <xdr:rowOff>47625</xdr:rowOff>
    </xdr:from>
    <xdr:to>
      <xdr:col>1</xdr:col>
      <xdr:colOff>790575</xdr:colOff>
      <xdr:row>1</xdr:row>
      <xdr:rowOff>752475</xdr:rowOff>
    </xdr:to>
    <xdr:pic>
      <xdr:nvPicPr>
        <xdr:cNvPr id="82" name="image78.jpg">
          <a:extLst>
            <a:ext uri="{FF2B5EF4-FFF2-40B4-BE49-F238E27FC236}">
              <a16:creationId xmlns:a16="http://schemas.microsoft.com/office/drawing/2014/main" id="{F47845BE-1885-4583-9350-B6199F60D608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666750" y="209550"/>
          <a:ext cx="733425" cy="704850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53718-B859-464F-A06A-1D56430E57AB}">
  <dimension ref="A1:K757"/>
  <sheetViews>
    <sheetView tabSelected="1" zoomScale="200" zoomScaleNormal="200" zoomScaleSheetLayoutView="100" workbookViewId="0">
      <selection activeCell="H88" sqref="H88"/>
    </sheetView>
  </sheetViews>
  <sheetFormatPr baseColWidth="10" defaultColWidth="12.42578125" defaultRowHeight="15" customHeight="1" x14ac:dyDescent="0.2"/>
  <cols>
    <col min="1" max="1" width="9.140625" style="3" customWidth="1"/>
    <col min="2" max="2" width="13.7109375" style="3" customWidth="1"/>
    <col min="3" max="7" width="10.28515625" style="3" customWidth="1"/>
    <col min="8" max="8" width="9.140625" style="3" customWidth="1"/>
    <col min="9" max="10" width="10" style="3" customWidth="1"/>
    <col min="11" max="30" width="9.140625" style="3" customWidth="1"/>
    <col min="31" max="16384" width="12.42578125" style="3"/>
  </cols>
  <sheetData>
    <row r="1" spans="1:11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>
        <v>1</v>
      </c>
      <c r="F1" s="1" t="s">
        <v>4</v>
      </c>
      <c r="G1" s="1" t="s">
        <v>5</v>
      </c>
      <c r="I1" s="4" t="s">
        <v>6</v>
      </c>
      <c r="J1" s="5" t="s">
        <v>7</v>
      </c>
      <c r="K1" s="5" t="s">
        <v>8</v>
      </c>
    </row>
    <row r="2" spans="1:11" ht="63.95" customHeight="1" x14ac:dyDescent="0.2">
      <c r="A2" s="6">
        <v>81</v>
      </c>
      <c r="B2" s="7"/>
      <c r="C2" s="8">
        <v>3.68</v>
      </c>
      <c r="D2" s="9">
        <f t="shared" ref="D2:D65" si="0">(C2*8)+3</f>
        <v>32.44</v>
      </c>
      <c r="E2" s="9">
        <f t="shared" ref="E2:E65" si="1">D2*2</f>
        <v>64.88</v>
      </c>
      <c r="F2" s="9">
        <v>65</v>
      </c>
      <c r="G2" s="9">
        <f t="shared" ref="G2:G65" si="2">F2+10</f>
        <v>75</v>
      </c>
      <c r="I2" s="10"/>
      <c r="J2" s="10"/>
      <c r="K2" s="10"/>
    </row>
    <row r="3" spans="1:11" ht="63.95" customHeight="1" x14ac:dyDescent="0.2">
      <c r="A3" s="6">
        <v>80</v>
      </c>
      <c r="B3" s="7"/>
      <c r="C3" s="8">
        <v>3.68</v>
      </c>
      <c r="D3" s="9">
        <f t="shared" si="0"/>
        <v>32.44</v>
      </c>
      <c r="E3" s="9">
        <f t="shared" si="1"/>
        <v>64.88</v>
      </c>
      <c r="F3" s="9">
        <v>65</v>
      </c>
      <c r="G3" s="9">
        <f t="shared" si="2"/>
        <v>75</v>
      </c>
      <c r="I3" s="10"/>
      <c r="J3" s="10"/>
      <c r="K3" s="10"/>
    </row>
    <row r="4" spans="1:11" ht="63.95" customHeight="1" x14ac:dyDescent="0.2">
      <c r="A4" s="6">
        <v>79</v>
      </c>
      <c r="B4" s="7"/>
      <c r="C4" s="8">
        <v>3.68</v>
      </c>
      <c r="D4" s="9">
        <f t="shared" si="0"/>
        <v>32.44</v>
      </c>
      <c r="E4" s="9">
        <f t="shared" si="1"/>
        <v>64.88</v>
      </c>
      <c r="F4" s="9">
        <v>65</v>
      </c>
      <c r="G4" s="9">
        <f t="shared" si="2"/>
        <v>75</v>
      </c>
      <c r="I4" s="10"/>
      <c r="J4" s="10"/>
      <c r="K4" s="10"/>
    </row>
    <row r="5" spans="1:11" ht="63.95" customHeight="1" x14ac:dyDescent="0.2">
      <c r="A5" s="6">
        <v>78</v>
      </c>
      <c r="B5" s="7"/>
      <c r="C5" s="8">
        <v>3.68</v>
      </c>
      <c r="D5" s="9">
        <f t="shared" si="0"/>
        <v>32.44</v>
      </c>
      <c r="E5" s="9">
        <f t="shared" si="1"/>
        <v>64.88</v>
      </c>
      <c r="F5" s="9">
        <v>65</v>
      </c>
      <c r="G5" s="9">
        <f t="shared" si="2"/>
        <v>75</v>
      </c>
      <c r="I5" s="10"/>
      <c r="J5" s="10"/>
      <c r="K5" s="10"/>
    </row>
    <row r="6" spans="1:11" ht="63.95" customHeight="1" x14ac:dyDescent="0.2">
      <c r="A6" s="6">
        <v>77</v>
      </c>
      <c r="B6" s="7"/>
      <c r="C6" s="8">
        <v>3.68</v>
      </c>
      <c r="D6" s="9">
        <f t="shared" si="0"/>
        <v>32.44</v>
      </c>
      <c r="E6" s="9">
        <f t="shared" si="1"/>
        <v>64.88</v>
      </c>
      <c r="F6" s="9">
        <v>65</v>
      </c>
      <c r="G6" s="9">
        <f t="shared" si="2"/>
        <v>75</v>
      </c>
      <c r="I6" s="10"/>
      <c r="J6" s="10"/>
      <c r="K6" s="10"/>
    </row>
    <row r="7" spans="1:11" ht="63.95" customHeight="1" x14ac:dyDescent="0.2">
      <c r="A7" s="6">
        <v>76</v>
      </c>
      <c r="B7" s="7"/>
      <c r="C7" s="8">
        <v>3.68</v>
      </c>
      <c r="D7" s="9">
        <f t="shared" si="0"/>
        <v>32.44</v>
      </c>
      <c r="E7" s="9">
        <f t="shared" si="1"/>
        <v>64.88</v>
      </c>
      <c r="F7" s="9">
        <v>65</v>
      </c>
      <c r="G7" s="9">
        <f t="shared" si="2"/>
        <v>75</v>
      </c>
      <c r="I7" s="10"/>
      <c r="J7" s="10"/>
      <c r="K7" s="10"/>
    </row>
    <row r="8" spans="1:11" ht="63.95" customHeight="1" x14ac:dyDescent="0.2">
      <c r="A8" s="6">
        <v>75</v>
      </c>
      <c r="B8" s="7"/>
      <c r="C8" s="8">
        <v>3.68</v>
      </c>
      <c r="D8" s="9">
        <f t="shared" si="0"/>
        <v>32.44</v>
      </c>
      <c r="E8" s="9">
        <f t="shared" si="1"/>
        <v>64.88</v>
      </c>
      <c r="F8" s="9">
        <v>65</v>
      </c>
      <c r="G8" s="9">
        <f t="shared" si="2"/>
        <v>75</v>
      </c>
      <c r="I8" s="10"/>
      <c r="J8" s="10"/>
      <c r="K8" s="10"/>
    </row>
    <row r="9" spans="1:11" ht="63.95" customHeight="1" x14ac:dyDescent="0.2">
      <c r="A9" s="6">
        <v>74</v>
      </c>
      <c r="B9" s="7"/>
      <c r="C9" s="8">
        <v>3.68</v>
      </c>
      <c r="D9" s="9">
        <f t="shared" si="0"/>
        <v>32.44</v>
      </c>
      <c r="E9" s="9">
        <f t="shared" si="1"/>
        <v>64.88</v>
      </c>
      <c r="F9" s="9">
        <v>65</v>
      </c>
      <c r="G9" s="9">
        <f t="shared" si="2"/>
        <v>75</v>
      </c>
      <c r="I9" s="10"/>
      <c r="J9" s="10"/>
      <c r="K9" s="10"/>
    </row>
    <row r="10" spans="1:11" ht="63.95" customHeight="1" x14ac:dyDescent="0.2">
      <c r="A10" s="6">
        <v>73</v>
      </c>
      <c r="B10" s="7"/>
      <c r="C10" s="8">
        <v>3.68</v>
      </c>
      <c r="D10" s="9">
        <f t="shared" si="0"/>
        <v>32.44</v>
      </c>
      <c r="E10" s="9">
        <f t="shared" si="1"/>
        <v>64.88</v>
      </c>
      <c r="F10" s="9">
        <v>65</v>
      </c>
      <c r="G10" s="9">
        <f t="shared" si="2"/>
        <v>75</v>
      </c>
      <c r="I10" s="10"/>
      <c r="J10" s="10"/>
      <c r="K10" s="10"/>
    </row>
    <row r="11" spans="1:11" ht="63.95" customHeight="1" x14ac:dyDescent="0.2">
      <c r="A11" s="6">
        <v>72</v>
      </c>
      <c r="B11" s="7"/>
      <c r="C11" s="8">
        <v>3.68</v>
      </c>
      <c r="D11" s="9">
        <f t="shared" si="0"/>
        <v>32.44</v>
      </c>
      <c r="E11" s="9">
        <f t="shared" si="1"/>
        <v>64.88</v>
      </c>
      <c r="F11" s="9">
        <v>65</v>
      </c>
      <c r="G11" s="9">
        <f t="shared" si="2"/>
        <v>75</v>
      </c>
      <c r="I11" s="10">
        <v>2</v>
      </c>
      <c r="J11" s="10"/>
      <c r="K11" s="10"/>
    </row>
    <row r="12" spans="1:11" ht="63.95" customHeight="1" x14ac:dyDescent="0.2">
      <c r="A12" s="6">
        <v>71</v>
      </c>
      <c r="B12" s="7"/>
      <c r="C12" s="8">
        <v>3.68</v>
      </c>
      <c r="D12" s="9">
        <f t="shared" si="0"/>
        <v>32.44</v>
      </c>
      <c r="E12" s="9">
        <f t="shared" si="1"/>
        <v>64.88</v>
      </c>
      <c r="F12" s="9">
        <v>65</v>
      </c>
      <c r="G12" s="9">
        <f t="shared" si="2"/>
        <v>75</v>
      </c>
      <c r="I12" s="10"/>
      <c r="J12" s="10"/>
      <c r="K12" s="10">
        <v>1</v>
      </c>
    </row>
    <row r="13" spans="1:11" ht="63.95" customHeight="1" x14ac:dyDescent="0.2">
      <c r="A13" s="6">
        <v>70</v>
      </c>
      <c r="B13" s="7"/>
      <c r="C13" s="8">
        <v>3.68</v>
      </c>
      <c r="D13" s="9">
        <f t="shared" si="0"/>
        <v>32.44</v>
      </c>
      <c r="E13" s="9">
        <f t="shared" si="1"/>
        <v>64.88</v>
      </c>
      <c r="F13" s="9">
        <v>65</v>
      </c>
      <c r="G13" s="9">
        <f t="shared" si="2"/>
        <v>75</v>
      </c>
      <c r="I13" s="10"/>
      <c r="J13" s="10"/>
      <c r="K13" s="10"/>
    </row>
    <row r="14" spans="1:11" ht="63.95" customHeight="1" x14ac:dyDescent="0.2">
      <c r="A14" s="6">
        <v>69</v>
      </c>
      <c r="B14" s="7"/>
      <c r="C14" s="8">
        <v>3.68</v>
      </c>
      <c r="D14" s="9">
        <f t="shared" si="0"/>
        <v>32.44</v>
      </c>
      <c r="E14" s="9">
        <f t="shared" si="1"/>
        <v>64.88</v>
      </c>
      <c r="F14" s="9">
        <v>65</v>
      </c>
      <c r="G14" s="9">
        <f t="shared" si="2"/>
        <v>75</v>
      </c>
      <c r="I14" s="10"/>
      <c r="J14" s="10"/>
      <c r="K14" s="10"/>
    </row>
    <row r="15" spans="1:11" ht="63.95" customHeight="1" x14ac:dyDescent="0.2">
      <c r="A15" s="6">
        <v>68</v>
      </c>
      <c r="B15" s="7"/>
      <c r="C15" s="8">
        <v>3.68</v>
      </c>
      <c r="D15" s="9">
        <f t="shared" si="0"/>
        <v>32.44</v>
      </c>
      <c r="E15" s="9">
        <f t="shared" si="1"/>
        <v>64.88</v>
      </c>
      <c r="F15" s="9">
        <v>65</v>
      </c>
      <c r="G15" s="9">
        <f t="shared" si="2"/>
        <v>75</v>
      </c>
      <c r="I15" s="10">
        <v>1</v>
      </c>
      <c r="J15" s="10"/>
      <c r="K15" s="10"/>
    </row>
    <row r="16" spans="1:11" ht="63.95" customHeight="1" x14ac:dyDescent="0.2">
      <c r="A16" s="6">
        <v>67</v>
      </c>
      <c r="B16" s="7"/>
      <c r="C16" s="8">
        <v>3.68</v>
      </c>
      <c r="D16" s="9">
        <f t="shared" si="0"/>
        <v>32.44</v>
      </c>
      <c r="E16" s="9">
        <f t="shared" si="1"/>
        <v>64.88</v>
      </c>
      <c r="F16" s="9">
        <v>65</v>
      </c>
      <c r="G16" s="9">
        <f t="shared" si="2"/>
        <v>75</v>
      </c>
      <c r="I16" s="10"/>
      <c r="J16" s="10"/>
      <c r="K16" s="10"/>
    </row>
    <row r="17" spans="1:11" ht="63.95" customHeight="1" x14ac:dyDescent="0.2">
      <c r="A17" s="11">
        <v>66</v>
      </c>
      <c r="B17" s="7"/>
      <c r="C17" s="8">
        <v>3.68</v>
      </c>
      <c r="D17" s="9">
        <f t="shared" si="0"/>
        <v>32.44</v>
      </c>
      <c r="E17" s="9">
        <f t="shared" si="1"/>
        <v>64.88</v>
      </c>
      <c r="F17" s="9">
        <v>65</v>
      </c>
      <c r="G17" s="9">
        <f t="shared" si="2"/>
        <v>75</v>
      </c>
      <c r="I17" s="10"/>
      <c r="J17" s="10"/>
      <c r="K17" s="10"/>
    </row>
    <row r="18" spans="1:11" ht="63.95" customHeight="1" x14ac:dyDescent="0.2">
      <c r="A18" s="11">
        <v>65</v>
      </c>
      <c r="B18" s="7"/>
      <c r="C18" s="8">
        <v>3.68</v>
      </c>
      <c r="D18" s="9">
        <f t="shared" si="0"/>
        <v>32.44</v>
      </c>
      <c r="E18" s="9">
        <f t="shared" si="1"/>
        <v>64.88</v>
      </c>
      <c r="F18" s="9">
        <v>65</v>
      </c>
      <c r="G18" s="9">
        <f t="shared" si="2"/>
        <v>75</v>
      </c>
      <c r="I18" s="10"/>
      <c r="J18" s="10"/>
      <c r="K18" s="10"/>
    </row>
    <row r="19" spans="1:11" ht="63.95" customHeight="1" x14ac:dyDescent="0.2">
      <c r="A19" s="11">
        <v>64</v>
      </c>
      <c r="B19" s="7"/>
      <c r="C19" s="8">
        <v>3.68</v>
      </c>
      <c r="D19" s="9">
        <f t="shared" si="0"/>
        <v>32.44</v>
      </c>
      <c r="E19" s="9">
        <f t="shared" si="1"/>
        <v>64.88</v>
      </c>
      <c r="F19" s="9">
        <v>65</v>
      </c>
      <c r="G19" s="9">
        <f t="shared" si="2"/>
        <v>75</v>
      </c>
      <c r="I19" s="10"/>
      <c r="J19" s="10"/>
      <c r="K19" s="10"/>
    </row>
    <row r="20" spans="1:11" ht="63.95" customHeight="1" x14ac:dyDescent="0.2">
      <c r="A20" s="11">
        <v>63</v>
      </c>
      <c r="B20" s="7"/>
      <c r="C20" s="8">
        <v>3.68</v>
      </c>
      <c r="D20" s="9">
        <f t="shared" si="0"/>
        <v>32.44</v>
      </c>
      <c r="E20" s="9">
        <f t="shared" si="1"/>
        <v>64.88</v>
      </c>
      <c r="F20" s="9">
        <v>65</v>
      </c>
      <c r="G20" s="9">
        <f t="shared" si="2"/>
        <v>75</v>
      </c>
      <c r="I20" s="10"/>
      <c r="J20" s="10"/>
      <c r="K20" s="10"/>
    </row>
    <row r="21" spans="1:11" ht="63.95" customHeight="1" x14ac:dyDescent="0.2">
      <c r="A21" s="11">
        <v>62</v>
      </c>
      <c r="B21" s="7"/>
      <c r="C21" s="8">
        <v>3.68</v>
      </c>
      <c r="D21" s="9">
        <f t="shared" si="0"/>
        <v>32.44</v>
      </c>
      <c r="E21" s="9">
        <f t="shared" si="1"/>
        <v>64.88</v>
      </c>
      <c r="F21" s="9">
        <v>65</v>
      </c>
      <c r="G21" s="9">
        <f t="shared" si="2"/>
        <v>75</v>
      </c>
      <c r="I21" s="10"/>
      <c r="J21" s="10"/>
      <c r="K21" s="10"/>
    </row>
    <row r="22" spans="1:11" ht="63.95" customHeight="1" x14ac:dyDescent="0.2">
      <c r="A22" s="11">
        <v>61</v>
      </c>
      <c r="B22" s="7"/>
      <c r="C22" s="8">
        <v>3.68</v>
      </c>
      <c r="D22" s="9">
        <f t="shared" si="0"/>
        <v>32.44</v>
      </c>
      <c r="E22" s="9">
        <f t="shared" si="1"/>
        <v>64.88</v>
      </c>
      <c r="F22" s="9">
        <v>65</v>
      </c>
      <c r="G22" s="9">
        <f t="shared" si="2"/>
        <v>75</v>
      </c>
      <c r="I22" s="10"/>
      <c r="J22" s="10"/>
      <c r="K22" s="10"/>
    </row>
    <row r="23" spans="1:11" ht="63.95" customHeight="1" x14ac:dyDescent="0.2">
      <c r="A23" s="11">
        <v>60</v>
      </c>
      <c r="B23" s="7"/>
      <c r="C23" s="8">
        <v>3.68</v>
      </c>
      <c r="D23" s="9">
        <f t="shared" si="0"/>
        <v>32.44</v>
      </c>
      <c r="E23" s="9">
        <f t="shared" si="1"/>
        <v>64.88</v>
      </c>
      <c r="F23" s="9">
        <v>65</v>
      </c>
      <c r="G23" s="9">
        <f t="shared" si="2"/>
        <v>75</v>
      </c>
      <c r="I23" s="10"/>
      <c r="J23" s="10"/>
      <c r="K23" s="10"/>
    </row>
    <row r="24" spans="1:11" ht="63.95" customHeight="1" x14ac:dyDescent="0.2">
      <c r="A24" s="11">
        <v>59</v>
      </c>
      <c r="B24" s="7"/>
      <c r="C24" s="8">
        <v>3.68</v>
      </c>
      <c r="D24" s="9">
        <f t="shared" si="0"/>
        <v>32.44</v>
      </c>
      <c r="E24" s="9">
        <f t="shared" si="1"/>
        <v>64.88</v>
      </c>
      <c r="F24" s="9">
        <v>65</v>
      </c>
      <c r="G24" s="9">
        <f t="shared" si="2"/>
        <v>75</v>
      </c>
      <c r="I24" s="10"/>
      <c r="J24" s="10"/>
      <c r="K24" s="10"/>
    </row>
    <row r="25" spans="1:11" ht="63.95" customHeight="1" x14ac:dyDescent="0.2">
      <c r="A25" s="11">
        <v>58</v>
      </c>
      <c r="B25" s="7"/>
      <c r="C25" s="8">
        <v>3.68</v>
      </c>
      <c r="D25" s="9">
        <f t="shared" si="0"/>
        <v>32.44</v>
      </c>
      <c r="E25" s="9">
        <f t="shared" si="1"/>
        <v>64.88</v>
      </c>
      <c r="F25" s="9">
        <v>65</v>
      </c>
      <c r="G25" s="9">
        <f t="shared" si="2"/>
        <v>75</v>
      </c>
      <c r="I25" s="10"/>
      <c r="J25" s="10"/>
      <c r="K25" s="10"/>
    </row>
    <row r="26" spans="1:11" ht="63.95" customHeight="1" x14ac:dyDescent="0.2">
      <c r="A26" s="11">
        <v>57</v>
      </c>
      <c r="B26" s="7"/>
      <c r="C26" s="8">
        <v>3.68</v>
      </c>
      <c r="D26" s="9">
        <f t="shared" si="0"/>
        <v>32.44</v>
      </c>
      <c r="E26" s="9">
        <f t="shared" si="1"/>
        <v>64.88</v>
      </c>
      <c r="F26" s="9">
        <v>65</v>
      </c>
      <c r="G26" s="9">
        <f t="shared" si="2"/>
        <v>75</v>
      </c>
      <c r="I26" s="10"/>
      <c r="J26" s="10"/>
      <c r="K26" s="10"/>
    </row>
    <row r="27" spans="1:11" ht="63.95" customHeight="1" x14ac:dyDescent="0.2">
      <c r="A27" s="11">
        <v>56</v>
      </c>
      <c r="B27" s="7"/>
      <c r="C27" s="8">
        <v>3.68</v>
      </c>
      <c r="D27" s="9">
        <f t="shared" si="0"/>
        <v>32.44</v>
      </c>
      <c r="E27" s="9">
        <f t="shared" si="1"/>
        <v>64.88</v>
      </c>
      <c r="F27" s="9">
        <v>65</v>
      </c>
      <c r="G27" s="9">
        <f t="shared" si="2"/>
        <v>75</v>
      </c>
      <c r="I27" s="10"/>
      <c r="J27" s="10"/>
      <c r="K27" s="10"/>
    </row>
    <row r="28" spans="1:11" ht="63.95" customHeight="1" x14ac:dyDescent="0.2">
      <c r="A28" s="11">
        <v>55</v>
      </c>
      <c r="B28" s="7"/>
      <c r="C28" s="8">
        <v>3.68</v>
      </c>
      <c r="D28" s="9">
        <f t="shared" si="0"/>
        <v>32.44</v>
      </c>
      <c r="E28" s="9">
        <f t="shared" si="1"/>
        <v>64.88</v>
      </c>
      <c r="F28" s="9">
        <v>65</v>
      </c>
      <c r="G28" s="9">
        <f t="shared" si="2"/>
        <v>75</v>
      </c>
      <c r="I28" s="10"/>
      <c r="J28" s="10"/>
      <c r="K28" s="10"/>
    </row>
    <row r="29" spans="1:11" ht="63.95" customHeight="1" x14ac:dyDescent="0.2">
      <c r="A29" s="11">
        <v>54</v>
      </c>
      <c r="B29" s="7"/>
      <c r="C29" s="8">
        <v>3.68</v>
      </c>
      <c r="D29" s="9">
        <f t="shared" si="0"/>
        <v>32.44</v>
      </c>
      <c r="E29" s="9">
        <f t="shared" si="1"/>
        <v>64.88</v>
      </c>
      <c r="F29" s="9">
        <v>65</v>
      </c>
      <c r="G29" s="9">
        <f t="shared" si="2"/>
        <v>75</v>
      </c>
      <c r="I29" s="10"/>
      <c r="J29" s="10"/>
      <c r="K29" s="10"/>
    </row>
    <row r="30" spans="1:11" ht="63.95" customHeight="1" x14ac:dyDescent="0.2">
      <c r="A30" s="11">
        <v>53</v>
      </c>
      <c r="B30" s="7"/>
      <c r="C30" s="8">
        <v>3.68</v>
      </c>
      <c r="D30" s="9">
        <f t="shared" si="0"/>
        <v>32.44</v>
      </c>
      <c r="E30" s="9">
        <f t="shared" si="1"/>
        <v>64.88</v>
      </c>
      <c r="F30" s="9">
        <v>65</v>
      </c>
      <c r="G30" s="9">
        <f t="shared" si="2"/>
        <v>75</v>
      </c>
      <c r="I30" s="10"/>
      <c r="J30" s="10"/>
      <c r="K30" s="10"/>
    </row>
    <row r="31" spans="1:11" ht="63.95" customHeight="1" x14ac:dyDescent="0.2">
      <c r="A31" s="11">
        <v>52</v>
      </c>
      <c r="B31" s="7"/>
      <c r="C31" s="8">
        <v>3.68</v>
      </c>
      <c r="D31" s="9">
        <f t="shared" si="0"/>
        <v>32.44</v>
      </c>
      <c r="E31" s="9">
        <f t="shared" si="1"/>
        <v>64.88</v>
      </c>
      <c r="F31" s="9">
        <v>65</v>
      </c>
      <c r="G31" s="9">
        <f t="shared" si="2"/>
        <v>75</v>
      </c>
      <c r="I31" s="10"/>
      <c r="J31" s="10"/>
      <c r="K31" s="10"/>
    </row>
    <row r="32" spans="1:11" ht="63.95" customHeight="1" x14ac:dyDescent="0.2">
      <c r="A32" s="11">
        <v>51</v>
      </c>
      <c r="B32" s="7"/>
      <c r="C32" s="8">
        <v>3.68</v>
      </c>
      <c r="D32" s="9">
        <f t="shared" si="0"/>
        <v>32.44</v>
      </c>
      <c r="E32" s="9">
        <f t="shared" si="1"/>
        <v>64.88</v>
      </c>
      <c r="F32" s="9">
        <v>65</v>
      </c>
      <c r="G32" s="9">
        <f t="shared" si="2"/>
        <v>75</v>
      </c>
      <c r="I32" s="10"/>
      <c r="J32" s="10"/>
      <c r="K32" s="10"/>
    </row>
    <row r="33" spans="1:11" ht="63.95" customHeight="1" x14ac:dyDescent="0.2">
      <c r="A33" s="11">
        <v>50</v>
      </c>
      <c r="B33" s="7"/>
      <c r="C33" s="8">
        <v>3.68</v>
      </c>
      <c r="D33" s="9">
        <f t="shared" si="0"/>
        <v>32.44</v>
      </c>
      <c r="E33" s="9">
        <f t="shared" si="1"/>
        <v>64.88</v>
      </c>
      <c r="F33" s="9">
        <v>65</v>
      </c>
      <c r="G33" s="9">
        <f t="shared" si="2"/>
        <v>75</v>
      </c>
      <c r="I33" s="10"/>
      <c r="J33" s="10"/>
      <c r="K33" s="10"/>
    </row>
    <row r="34" spans="1:11" ht="63.95" customHeight="1" x14ac:dyDescent="0.2">
      <c r="A34" s="11">
        <v>49</v>
      </c>
      <c r="B34" s="7"/>
      <c r="C34" s="8">
        <v>3.68</v>
      </c>
      <c r="D34" s="9">
        <f t="shared" si="0"/>
        <v>32.44</v>
      </c>
      <c r="E34" s="9">
        <f t="shared" si="1"/>
        <v>64.88</v>
      </c>
      <c r="F34" s="9">
        <v>65</v>
      </c>
      <c r="G34" s="9">
        <f t="shared" si="2"/>
        <v>75</v>
      </c>
      <c r="I34" s="10"/>
      <c r="J34" s="10"/>
      <c r="K34" s="10"/>
    </row>
    <row r="35" spans="1:11" ht="63.95" customHeight="1" x14ac:dyDescent="0.2">
      <c r="A35" s="11">
        <v>48</v>
      </c>
      <c r="B35" s="7"/>
      <c r="C35" s="8">
        <v>3.68</v>
      </c>
      <c r="D35" s="9">
        <f t="shared" si="0"/>
        <v>32.44</v>
      </c>
      <c r="E35" s="9">
        <f t="shared" si="1"/>
        <v>64.88</v>
      </c>
      <c r="F35" s="9">
        <v>65</v>
      </c>
      <c r="G35" s="9">
        <f t="shared" si="2"/>
        <v>75</v>
      </c>
      <c r="I35" s="10"/>
      <c r="J35" s="10"/>
      <c r="K35" s="10"/>
    </row>
    <row r="36" spans="1:11" ht="63.95" customHeight="1" x14ac:dyDescent="0.2">
      <c r="A36" s="11">
        <v>47</v>
      </c>
      <c r="B36" s="7"/>
      <c r="C36" s="8">
        <v>3.68</v>
      </c>
      <c r="D36" s="9">
        <f t="shared" si="0"/>
        <v>32.44</v>
      </c>
      <c r="E36" s="9">
        <f t="shared" si="1"/>
        <v>64.88</v>
      </c>
      <c r="F36" s="9">
        <v>65</v>
      </c>
      <c r="G36" s="9">
        <f t="shared" si="2"/>
        <v>75</v>
      </c>
      <c r="I36" s="10"/>
      <c r="J36" s="10"/>
      <c r="K36" s="10"/>
    </row>
    <row r="37" spans="1:11" ht="63.95" customHeight="1" x14ac:dyDescent="0.2">
      <c r="A37" s="11">
        <v>46</v>
      </c>
      <c r="B37" s="7"/>
      <c r="C37" s="8">
        <v>3.68</v>
      </c>
      <c r="D37" s="9">
        <f t="shared" si="0"/>
        <v>32.44</v>
      </c>
      <c r="E37" s="9">
        <f t="shared" si="1"/>
        <v>64.88</v>
      </c>
      <c r="F37" s="9">
        <v>65</v>
      </c>
      <c r="G37" s="9">
        <f t="shared" si="2"/>
        <v>75</v>
      </c>
      <c r="I37" s="10"/>
      <c r="J37" s="10"/>
      <c r="K37" s="10"/>
    </row>
    <row r="38" spans="1:11" ht="63.95" customHeight="1" x14ac:dyDescent="0.2">
      <c r="A38" s="11">
        <v>45</v>
      </c>
      <c r="B38" s="7"/>
      <c r="C38" s="8">
        <v>3.68</v>
      </c>
      <c r="D38" s="9">
        <f t="shared" si="0"/>
        <v>32.44</v>
      </c>
      <c r="E38" s="9">
        <f t="shared" si="1"/>
        <v>64.88</v>
      </c>
      <c r="F38" s="9">
        <v>65</v>
      </c>
      <c r="G38" s="9">
        <f t="shared" si="2"/>
        <v>75</v>
      </c>
      <c r="I38" s="10"/>
      <c r="J38" s="10"/>
      <c r="K38" s="10"/>
    </row>
    <row r="39" spans="1:11" ht="63.95" customHeight="1" x14ac:dyDescent="0.2">
      <c r="A39" s="11">
        <v>44</v>
      </c>
      <c r="B39" s="7"/>
      <c r="C39" s="8">
        <v>3.68</v>
      </c>
      <c r="D39" s="9">
        <f t="shared" si="0"/>
        <v>32.44</v>
      </c>
      <c r="E39" s="9">
        <f t="shared" si="1"/>
        <v>64.88</v>
      </c>
      <c r="F39" s="9">
        <v>65</v>
      </c>
      <c r="G39" s="9">
        <f t="shared" si="2"/>
        <v>75</v>
      </c>
      <c r="I39" s="10"/>
      <c r="J39" s="10"/>
      <c r="K39" s="10"/>
    </row>
    <row r="40" spans="1:11" ht="63.95" customHeight="1" x14ac:dyDescent="0.2">
      <c r="A40" s="11">
        <v>43</v>
      </c>
      <c r="B40" s="7"/>
      <c r="C40" s="8">
        <v>3.68</v>
      </c>
      <c r="D40" s="9">
        <f t="shared" si="0"/>
        <v>32.44</v>
      </c>
      <c r="E40" s="9">
        <f t="shared" si="1"/>
        <v>64.88</v>
      </c>
      <c r="F40" s="9">
        <v>65</v>
      </c>
      <c r="G40" s="9">
        <f t="shared" si="2"/>
        <v>75</v>
      </c>
      <c r="I40" s="10"/>
      <c r="J40" s="10"/>
      <c r="K40" s="10"/>
    </row>
    <row r="41" spans="1:11" ht="63.95" customHeight="1" x14ac:dyDescent="0.2">
      <c r="A41" s="11">
        <v>42</v>
      </c>
      <c r="B41" s="7"/>
      <c r="C41" s="8">
        <v>3.68</v>
      </c>
      <c r="D41" s="9">
        <f t="shared" si="0"/>
        <v>32.44</v>
      </c>
      <c r="E41" s="9">
        <f t="shared" si="1"/>
        <v>64.88</v>
      </c>
      <c r="F41" s="9">
        <v>65</v>
      </c>
      <c r="G41" s="9">
        <f t="shared" si="2"/>
        <v>75</v>
      </c>
      <c r="I41" s="10"/>
      <c r="J41" s="10"/>
      <c r="K41" s="10"/>
    </row>
    <row r="42" spans="1:11" ht="63.95" customHeight="1" x14ac:dyDescent="0.2">
      <c r="A42" s="11">
        <v>41</v>
      </c>
      <c r="B42" s="7"/>
      <c r="C42" s="8">
        <v>3.68</v>
      </c>
      <c r="D42" s="9">
        <f t="shared" si="0"/>
        <v>32.44</v>
      </c>
      <c r="E42" s="9">
        <f t="shared" si="1"/>
        <v>64.88</v>
      </c>
      <c r="F42" s="9">
        <v>65</v>
      </c>
      <c r="G42" s="9">
        <f t="shared" si="2"/>
        <v>75</v>
      </c>
      <c r="I42" s="10"/>
      <c r="J42" s="10"/>
      <c r="K42" s="10"/>
    </row>
    <row r="43" spans="1:11" ht="63.95" customHeight="1" x14ac:dyDescent="0.2">
      <c r="A43" s="11">
        <v>40</v>
      </c>
      <c r="B43" s="7"/>
      <c r="C43" s="8">
        <v>3.68</v>
      </c>
      <c r="D43" s="9">
        <f t="shared" si="0"/>
        <v>32.44</v>
      </c>
      <c r="E43" s="9">
        <f t="shared" si="1"/>
        <v>64.88</v>
      </c>
      <c r="F43" s="9">
        <v>65</v>
      </c>
      <c r="G43" s="9">
        <f t="shared" si="2"/>
        <v>75</v>
      </c>
      <c r="I43" s="10"/>
      <c r="J43" s="10"/>
      <c r="K43" s="10"/>
    </row>
    <row r="44" spans="1:11" ht="63.95" customHeight="1" x14ac:dyDescent="0.2">
      <c r="A44" s="11">
        <v>39</v>
      </c>
      <c r="B44" s="7"/>
      <c r="C44" s="8">
        <v>3.68</v>
      </c>
      <c r="D44" s="9">
        <f t="shared" si="0"/>
        <v>32.44</v>
      </c>
      <c r="E44" s="9">
        <f t="shared" si="1"/>
        <v>64.88</v>
      </c>
      <c r="F44" s="9">
        <v>65</v>
      </c>
      <c r="G44" s="9">
        <f t="shared" si="2"/>
        <v>75</v>
      </c>
      <c r="I44" s="10"/>
      <c r="J44" s="10"/>
      <c r="K44" s="10"/>
    </row>
    <row r="45" spans="1:11" ht="63.95" customHeight="1" x14ac:dyDescent="0.2">
      <c r="A45" s="11">
        <v>38</v>
      </c>
      <c r="B45" s="7"/>
      <c r="C45" s="8">
        <v>3.68</v>
      </c>
      <c r="D45" s="9">
        <f t="shared" si="0"/>
        <v>32.44</v>
      </c>
      <c r="E45" s="9">
        <f t="shared" si="1"/>
        <v>64.88</v>
      </c>
      <c r="F45" s="9">
        <v>65</v>
      </c>
      <c r="G45" s="9">
        <f t="shared" si="2"/>
        <v>75</v>
      </c>
      <c r="I45" s="10"/>
      <c r="J45" s="10"/>
      <c r="K45" s="10"/>
    </row>
    <row r="46" spans="1:11" ht="63.95" customHeight="1" x14ac:dyDescent="0.2">
      <c r="A46" s="11">
        <v>37</v>
      </c>
      <c r="B46" s="7"/>
      <c r="C46" s="8">
        <v>3.68</v>
      </c>
      <c r="D46" s="9">
        <f t="shared" si="0"/>
        <v>32.44</v>
      </c>
      <c r="E46" s="9">
        <f t="shared" si="1"/>
        <v>64.88</v>
      </c>
      <c r="F46" s="9">
        <v>65</v>
      </c>
      <c r="G46" s="9">
        <f t="shared" si="2"/>
        <v>75</v>
      </c>
      <c r="I46" s="10"/>
      <c r="J46" s="10"/>
      <c r="K46" s="10"/>
    </row>
    <row r="47" spans="1:11" ht="63.95" customHeight="1" x14ac:dyDescent="0.2">
      <c r="A47" s="11">
        <v>36</v>
      </c>
      <c r="B47" s="7"/>
      <c r="C47" s="8">
        <v>3.68</v>
      </c>
      <c r="D47" s="9">
        <f t="shared" si="0"/>
        <v>32.44</v>
      </c>
      <c r="E47" s="9">
        <f t="shared" si="1"/>
        <v>64.88</v>
      </c>
      <c r="F47" s="9">
        <v>65</v>
      </c>
      <c r="G47" s="9">
        <f t="shared" si="2"/>
        <v>75</v>
      </c>
      <c r="I47" s="10"/>
      <c r="J47" s="10"/>
      <c r="K47" s="10"/>
    </row>
    <row r="48" spans="1:11" ht="63.95" customHeight="1" x14ac:dyDescent="0.2">
      <c r="A48" s="11">
        <v>35</v>
      </c>
      <c r="B48" s="7"/>
      <c r="C48" s="8">
        <v>3.68</v>
      </c>
      <c r="D48" s="9">
        <f t="shared" si="0"/>
        <v>32.44</v>
      </c>
      <c r="E48" s="9">
        <f t="shared" si="1"/>
        <v>64.88</v>
      </c>
      <c r="F48" s="9">
        <v>65</v>
      </c>
      <c r="G48" s="9">
        <f t="shared" si="2"/>
        <v>75</v>
      </c>
      <c r="I48" s="10"/>
      <c r="J48" s="10"/>
      <c r="K48" s="10"/>
    </row>
    <row r="49" spans="1:11" ht="63.95" customHeight="1" x14ac:dyDescent="0.2">
      <c r="A49" s="11">
        <v>34</v>
      </c>
      <c r="B49" s="7"/>
      <c r="C49" s="8">
        <v>3.68</v>
      </c>
      <c r="D49" s="9">
        <f t="shared" si="0"/>
        <v>32.44</v>
      </c>
      <c r="E49" s="9">
        <f t="shared" si="1"/>
        <v>64.88</v>
      </c>
      <c r="F49" s="9">
        <v>65</v>
      </c>
      <c r="G49" s="9">
        <f t="shared" si="2"/>
        <v>75</v>
      </c>
      <c r="I49" s="10"/>
      <c r="J49" s="10"/>
      <c r="K49" s="10"/>
    </row>
    <row r="50" spans="1:11" ht="63.95" customHeight="1" x14ac:dyDescent="0.2">
      <c r="A50" s="11">
        <v>33</v>
      </c>
      <c r="B50" s="7"/>
      <c r="C50" s="8">
        <v>3.68</v>
      </c>
      <c r="D50" s="9">
        <f t="shared" si="0"/>
        <v>32.44</v>
      </c>
      <c r="E50" s="9">
        <f t="shared" si="1"/>
        <v>64.88</v>
      </c>
      <c r="F50" s="9">
        <v>65</v>
      </c>
      <c r="G50" s="9">
        <f t="shared" si="2"/>
        <v>75</v>
      </c>
      <c r="I50" s="10"/>
      <c r="J50" s="10"/>
      <c r="K50" s="10"/>
    </row>
    <row r="51" spans="1:11" ht="63.95" customHeight="1" x14ac:dyDescent="0.2">
      <c r="A51" s="11">
        <v>32</v>
      </c>
      <c r="B51" s="7"/>
      <c r="C51" s="8">
        <v>3.68</v>
      </c>
      <c r="D51" s="9">
        <f t="shared" si="0"/>
        <v>32.44</v>
      </c>
      <c r="E51" s="9">
        <f t="shared" si="1"/>
        <v>64.88</v>
      </c>
      <c r="F51" s="9">
        <v>65</v>
      </c>
      <c r="G51" s="9">
        <f t="shared" si="2"/>
        <v>75</v>
      </c>
      <c r="I51" s="10"/>
      <c r="J51" s="10"/>
      <c r="K51" s="10"/>
    </row>
    <row r="52" spans="1:11" ht="63.95" customHeight="1" x14ac:dyDescent="0.2">
      <c r="A52" s="11">
        <v>31</v>
      </c>
      <c r="B52" s="7"/>
      <c r="C52" s="8">
        <v>3.68</v>
      </c>
      <c r="D52" s="9">
        <f t="shared" si="0"/>
        <v>32.44</v>
      </c>
      <c r="E52" s="9">
        <f t="shared" si="1"/>
        <v>64.88</v>
      </c>
      <c r="F52" s="9">
        <v>65</v>
      </c>
      <c r="G52" s="9">
        <f t="shared" si="2"/>
        <v>75</v>
      </c>
      <c r="I52" s="10"/>
      <c r="J52" s="10"/>
      <c r="K52" s="10"/>
    </row>
    <row r="53" spans="1:11" ht="63.95" customHeight="1" x14ac:dyDescent="0.2">
      <c r="A53" s="11">
        <v>30</v>
      </c>
      <c r="B53" s="7"/>
      <c r="C53" s="8">
        <v>3.68</v>
      </c>
      <c r="D53" s="9">
        <f t="shared" si="0"/>
        <v>32.44</v>
      </c>
      <c r="E53" s="9">
        <f t="shared" si="1"/>
        <v>64.88</v>
      </c>
      <c r="F53" s="9">
        <v>65</v>
      </c>
      <c r="G53" s="9">
        <f t="shared" si="2"/>
        <v>75</v>
      </c>
      <c r="I53" s="10"/>
      <c r="J53" s="10"/>
      <c r="K53" s="10"/>
    </row>
    <row r="54" spans="1:11" ht="63.95" customHeight="1" x14ac:dyDescent="0.2">
      <c r="A54" s="11">
        <v>29</v>
      </c>
      <c r="B54" s="7"/>
      <c r="C54" s="8">
        <v>3.68</v>
      </c>
      <c r="D54" s="9">
        <f t="shared" si="0"/>
        <v>32.44</v>
      </c>
      <c r="E54" s="9">
        <f t="shared" si="1"/>
        <v>64.88</v>
      </c>
      <c r="F54" s="9">
        <v>65</v>
      </c>
      <c r="G54" s="9">
        <f t="shared" si="2"/>
        <v>75</v>
      </c>
      <c r="I54" s="10"/>
      <c r="J54" s="10"/>
      <c r="K54" s="10"/>
    </row>
    <row r="55" spans="1:11" ht="63.95" customHeight="1" x14ac:dyDescent="0.2">
      <c r="A55" s="11">
        <v>28</v>
      </c>
      <c r="B55" s="7"/>
      <c r="C55" s="8">
        <v>3.68</v>
      </c>
      <c r="D55" s="9">
        <f t="shared" si="0"/>
        <v>32.44</v>
      </c>
      <c r="E55" s="9">
        <f t="shared" si="1"/>
        <v>64.88</v>
      </c>
      <c r="F55" s="9">
        <v>65</v>
      </c>
      <c r="G55" s="9">
        <f t="shared" si="2"/>
        <v>75</v>
      </c>
      <c r="I55" s="10"/>
      <c r="J55" s="10"/>
      <c r="K55" s="10"/>
    </row>
    <row r="56" spans="1:11" ht="63.95" customHeight="1" x14ac:dyDescent="0.2">
      <c r="A56" s="11">
        <v>27</v>
      </c>
      <c r="B56" s="7"/>
      <c r="C56" s="8">
        <v>3.68</v>
      </c>
      <c r="D56" s="9">
        <f t="shared" si="0"/>
        <v>32.44</v>
      </c>
      <c r="E56" s="9">
        <f t="shared" si="1"/>
        <v>64.88</v>
      </c>
      <c r="F56" s="9">
        <v>65</v>
      </c>
      <c r="G56" s="9">
        <f t="shared" si="2"/>
        <v>75</v>
      </c>
      <c r="I56" s="10"/>
      <c r="J56" s="10"/>
      <c r="K56" s="10"/>
    </row>
    <row r="57" spans="1:11" ht="63.95" customHeight="1" x14ac:dyDescent="0.2">
      <c r="A57" s="11">
        <v>26</v>
      </c>
      <c r="B57" s="7"/>
      <c r="C57" s="8">
        <v>3.68</v>
      </c>
      <c r="D57" s="9">
        <f t="shared" si="0"/>
        <v>32.44</v>
      </c>
      <c r="E57" s="9">
        <f t="shared" si="1"/>
        <v>64.88</v>
      </c>
      <c r="F57" s="9">
        <v>65</v>
      </c>
      <c r="G57" s="9">
        <f t="shared" si="2"/>
        <v>75</v>
      </c>
      <c r="I57" s="10"/>
      <c r="J57" s="10"/>
      <c r="K57" s="10"/>
    </row>
    <row r="58" spans="1:11" ht="63.95" customHeight="1" x14ac:dyDescent="0.2">
      <c r="A58" s="11">
        <v>25</v>
      </c>
      <c r="B58" s="7"/>
      <c r="C58" s="8">
        <v>3.68</v>
      </c>
      <c r="D58" s="9">
        <f t="shared" si="0"/>
        <v>32.44</v>
      </c>
      <c r="E58" s="9">
        <f t="shared" si="1"/>
        <v>64.88</v>
      </c>
      <c r="F58" s="9">
        <v>65</v>
      </c>
      <c r="G58" s="9">
        <f t="shared" si="2"/>
        <v>75</v>
      </c>
      <c r="I58" s="10"/>
      <c r="J58" s="10"/>
      <c r="K58" s="10"/>
    </row>
    <row r="59" spans="1:11" ht="63.95" customHeight="1" x14ac:dyDescent="0.2">
      <c r="A59" s="11">
        <v>24</v>
      </c>
      <c r="B59" s="7"/>
      <c r="C59" s="8">
        <v>3.68</v>
      </c>
      <c r="D59" s="9">
        <f t="shared" si="0"/>
        <v>32.44</v>
      </c>
      <c r="E59" s="9">
        <f t="shared" si="1"/>
        <v>64.88</v>
      </c>
      <c r="F59" s="9">
        <v>65</v>
      </c>
      <c r="G59" s="9">
        <f t="shared" si="2"/>
        <v>75</v>
      </c>
      <c r="I59" s="10"/>
      <c r="J59" s="10"/>
      <c r="K59" s="10"/>
    </row>
    <row r="60" spans="1:11" ht="63.95" customHeight="1" x14ac:dyDescent="0.2">
      <c r="A60" s="11">
        <v>23</v>
      </c>
      <c r="B60" s="7"/>
      <c r="C60" s="8">
        <v>3.68</v>
      </c>
      <c r="D60" s="9">
        <f t="shared" si="0"/>
        <v>32.44</v>
      </c>
      <c r="E60" s="9">
        <f t="shared" si="1"/>
        <v>64.88</v>
      </c>
      <c r="F60" s="9">
        <v>65</v>
      </c>
      <c r="G60" s="9">
        <f t="shared" si="2"/>
        <v>75</v>
      </c>
      <c r="I60" s="10"/>
      <c r="J60" s="10"/>
      <c r="K60" s="10"/>
    </row>
    <row r="61" spans="1:11" ht="63.95" customHeight="1" x14ac:dyDescent="0.2">
      <c r="A61" s="11">
        <v>22</v>
      </c>
      <c r="B61" s="7"/>
      <c r="C61" s="8">
        <v>3.68</v>
      </c>
      <c r="D61" s="9">
        <f t="shared" si="0"/>
        <v>32.44</v>
      </c>
      <c r="E61" s="9">
        <f t="shared" si="1"/>
        <v>64.88</v>
      </c>
      <c r="F61" s="9">
        <v>65</v>
      </c>
      <c r="G61" s="9">
        <f t="shared" si="2"/>
        <v>75</v>
      </c>
      <c r="I61" s="10"/>
      <c r="J61" s="10"/>
      <c r="K61" s="10"/>
    </row>
    <row r="62" spans="1:11" ht="63.95" customHeight="1" x14ac:dyDescent="0.2">
      <c r="A62" s="11">
        <v>21</v>
      </c>
      <c r="B62" s="7"/>
      <c r="C62" s="8">
        <v>3.68</v>
      </c>
      <c r="D62" s="9">
        <f t="shared" si="0"/>
        <v>32.44</v>
      </c>
      <c r="E62" s="9">
        <f t="shared" si="1"/>
        <v>64.88</v>
      </c>
      <c r="F62" s="9">
        <v>65</v>
      </c>
      <c r="G62" s="9">
        <f t="shared" si="2"/>
        <v>75</v>
      </c>
      <c r="I62" s="10"/>
      <c r="J62" s="10"/>
      <c r="K62" s="10"/>
    </row>
    <row r="63" spans="1:11" ht="63.95" customHeight="1" x14ac:dyDescent="0.2">
      <c r="A63" s="11">
        <v>20</v>
      </c>
      <c r="B63" s="7"/>
      <c r="C63" s="8">
        <v>3.68</v>
      </c>
      <c r="D63" s="9">
        <f t="shared" si="0"/>
        <v>32.44</v>
      </c>
      <c r="E63" s="9">
        <f t="shared" si="1"/>
        <v>64.88</v>
      </c>
      <c r="F63" s="9">
        <v>65</v>
      </c>
      <c r="G63" s="9">
        <f t="shared" si="2"/>
        <v>75</v>
      </c>
      <c r="I63" s="10"/>
      <c r="J63" s="10"/>
      <c r="K63" s="10"/>
    </row>
    <row r="64" spans="1:11" ht="63.95" customHeight="1" x14ac:dyDescent="0.2">
      <c r="A64" s="11">
        <v>19</v>
      </c>
      <c r="B64" s="7"/>
      <c r="C64" s="8">
        <v>3.68</v>
      </c>
      <c r="D64" s="9">
        <f t="shared" si="0"/>
        <v>32.44</v>
      </c>
      <c r="E64" s="9">
        <f t="shared" si="1"/>
        <v>64.88</v>
      </c>
      <c r="F64" s="9">
        <v>65</v>
      </c>
      <c r="G64" s="9">
        <f t="shared" si="2"/>
        <v>75</v>
      </c>
      <c r="I64" s="10"/>
      <c r="J64" s="10"/>
      <c r="K64" s="10"/>
    </row>
    <row r="65" spans="1:11" ht="63.95" customHeight="1" x14ac:dyDescent="0.2">
      <c r="A65" s="11">
        <v>18</v>
      </c>
      <c r="B65" s="7"/>
      <c r="C65" s="8">
        <v>3.68</v>
      </c>
      <c r="D65" s="9">
        <f t="shared" si="0"/>
        <v>32.44</v>
      </c>
      <c r="E65" s="9">
        <f t="shared" si="1"/>
        <v>64.88</v>
      </c>
      <c r="F65" s="9">
        <v>65</v>
      </c>
      <c r="G65" s="9">
        <f t="shared" si="2"/>
        <v>75</v>
      </c>
      <c r="I65" s="10"/>
      <c r="J65" s="10"/>
      <c r="K65" s="10"/>
    </row>
    <row r="66" spans="1:11" ht="63.95" customHeight="1" x14ac:dyDescent="0.2">
      <c r="A66" s="11">
        <v>17</v>
      </c>
      <c r="B66" s="7"/>
      <c r="C66" s="8">
        <v>3.68</v>
      </c>
      <c r="D66" s="9">
        <f t="shared" ref="D66:D82" si="3">(C66*8)+3</f>
        <v>32.44</v>
      </c>
      <c r="E66" s="9">
        <f t="shared" ref="E66:E82" si="4">D66*2</f>
        <v>64.88</v>
      </c>
      <c r="F66" s="9">
        <v>65</v>
      </c>
      <c r="G66" s="9">
        <f t="shared" ref="G66:G82" si="5">F66+10</f>
        <v>75</v>
      </c>
      <c r="I66" s="10"/>
      <c r="J66" s="10"/>
      <c r="K66" s="10"/>
    </row>
    <row r="67" spans="1:11" ht="63.95" customHeight="1" x14ac:dyDescent="0.2">
      <c r="A67" s="11">
        <v>16</v>
      </c>
      <c r="B67" s="7"/>
      <c r="C67" s="8">
        <v>3.68</v>
      </c>
      <c r="D67" s="9">
        <f t="shared" si="3"/>
        <v>32.44</v>
      </c>
      <c r="E67" s="9">
        <f t="shared" si="4"/>
        <v>64.88</v>
      </c>
      <c r="F67" s="9">
        <v>65</v>
      </c>
      <c r="G67" s="9">
        <f t="shared" si="5"/>
        <v>75</v>
      </c>
      <c r="I67" s="10"/>
      <c r="J67" s="10"/>
      <c r="K67" s="10"/>
    </row>
    <row r="68" spans="1:11" ht="63.95" customHeight="1" x14ac:dyDescent="0.2">
      <c r="A68" s="11">
        <v>15</v>
      </c>
      <c r="B68" s="7"/>
      <c r="C68" s="8">
        <v>3.68</v>
      </c>
      <c r="D68" s="9">
        <f t="shared" si="3"/>
        <v>32.44</v>
      </c>
      <c r="E68" s="9">
        <f t="shared" si="4"/>
        <v>64.88</v>
      </c>
      <c r="F68" s="9">
        <v>65</v>
      </c>
      <c r="G68" s="9">
        <f t="shared" si="5"/>
        <v>75</v>
      </c>
      <c r="I68" s="10"/>
      <c r="J68" s="10"/>
      <c r="K68" s="10"/>
    </row>
    <row r="69" spans="1:11" ht="63.95" customHeight="1" x14ac:dyDescent="0.2">
      <c r="A69" s="11">
        <v>14</v>
      </c>
      <c r="B69" s="7"/>
      <c r="C69" s="8">
        <v>3.68</v>
      </c>
      <c r="D69" s="9">
        <f t="shared" si="3"/>
        <v>32.44</v>
      </c>
      <c r="E69" s="9">
        <f t="shared" si="4"/>
        <v>64.88</v>
      </c>
      <c r="F69" s="9">
        <v>65</v>
      </c>
      <c r="G69" s="9">
        <f t="shared" si="5"/>
        <v>75</v>
      </c>
      <c r="I69" s="10"/>
      <c r="J69" s="10"/>
      <c r="K69" s="10"/>
    </row>
    <row r="70" spans="1:11" ht="63.95" customHeight="1" x14ac:dyDescent="0.2">
      <c r="A70" s="11">
        <v>13</v>
      </c>
      <c r="B70" s="7"/>
      <c r="C70" s="8">
        <v>3.68</v>
      </c>
      <c r="D70" s="9">
        <f t="shared" si="3"/>
        <v>32.44</v>
      </c>
      <c r="E70" s="9">
        <f t="shared" si="4"/>
        <v>64.88</v>
      </c>
      <c r="F70" s="9">
        <v>65</v>
      </c>
      <c r="G70" s="9">
        <f t="shared" si="5"/>
        <v>75</v>
      </c>
      <c r="I70" s="10"/>
      <c r="J70" s="10"/>
      <c r="K70" s="10"/>
    </row>
    <row r="71" spans="1:11" ht="63.95" customHeight="1" x14ac:dyDescent="0.2">
      <c r="A71" s="11">
        <v>12</v>
      </c>
      <c r="B71" s="7"/>
      <c r="C71" s="8">
        <v>3.68</v>
      </c>
      <c r="D71" s="9">
        <f t="shared" si="3"/>
        <v>32.44</v>
      </c>
      <c r="E71" s="9">
        <f t="shared" si="4"/>
        <v>64.88</v>
      </c>
      <c r="F71" s="9">
        <v>65</v>
      </c>
      <c r="G71" s="9">
        <f t="shared" si="5"/>
        <v>75</v>
      </c>
      <c r="I71" s="10"/>
      <c r="J71" s="10"/>
      <c r="K71" s="10"/>
    </row>
    <row r="72" spans="1:11" ht="63.95" customHeight="1" x14ac:dyDescent="0.2">
      <c r="A72" s="6">
        <v>11</v>
      </c>
      <c r="B72" s="7"/>
      <c r="C72" s="8">
        <v>3.68</v>
      </c>
      <c r="D72" s="9">
        <f t="shared" si="3"/>
        <v>32.44</v>
      </c>
      <c r="E72" s="9">
        <f t="shared" si="4"/>
        <v>64.88</v>
      </c>
      <c r="F72" s="9">
        <v>65</v>
      </c>
      <c r="G72" s="9">
        <f t="shared" si="5"/>
        <v>75</v>
      </c>
      <c r="I72" s="10"/>
      <c r="J72" s="10"/>
      <c r="K72" s="10"/>
    </row>
    <row r="73" spans="1:11" ht="63.95" customHeight="1" x14ac:dyDescent="0.2">
      <c r="A73" s="6">
        <v>10</v>
      </c>
      <c r="B73" s="7"/>
      <c r="C73" s="8">
        <v>3.68</v>
      </c>
      <c r="D73" s="9">
        <f t="shared" si="3"/>
        <v>32.44</v>
      </c>
      <c r="E73" s="9">
        <f t="shared" si="4"/>
        <v>64.88</v>
      </c>
      <c r="F73" s="9">
        <v>65</v>
      </c>
      <c r="G73" s="9">
        <f t="shared" si="5"/>
        <v>75</v>
      </c>
      <c r="I73" s="10"/>
      <c r="J73" s="10"/>
      <c r="K73" s="10"/>
    </row>
    <row r="74" spans="1:11" ht="63.95" customHeight="1" x14ac:dyDescent="0.2">
      <c r="A74" s="6">
        <v>9</v>
      </c>
      <c r="B74" s="7"/>
      <c r="C74" s="8">
        <v>3.68</v>
      </c>
      <c r="D74" s="9">
        <f t="shared" si="3"/>
        <v>32.44</v>
      </c>
      <c r="E74" s="9">
        <f t="shared" si="4"/>
        <v>64.88</v>
      </c>
      <c r="F74" s="9">
        <v>65</v>
      </c>
      <c r="G74" s="9">
        <f t="shared" si="5"/>
        <v>75</v>
      </c>
      <c r="I74" s="10"/>
      <c r="J74" s="10"/>
      <c r="K74" s="10"/>
    </row>
    <row r="75" spans="1:11" ht="63.95" customHeight="1" x14ac:dyDescent="0.2">
      <c r="A75" s="6">
        <v>8</v>
      </c>
      <c r="B75" s="7"/>
      <c r="C75" s="8">
        <v>3.68</v>
      </c>
      <c r="D75" s="9">
        <f t="shared" si="3"/>
        <v>32.44</v>
      </c>
      <c r="E75" s="9">
        <f t="shared" si="4"/>
        <v>64.88</v>
      </c>
      <c r="F75" s="9">
        <v>65</v>
      </c>
      <c r="G75" s="9">
        <f t="shared" si="5"/>
        <v>75</v>
      </c>
      <c r="I75" s="10"/>
      <c r="J75" s="10"/>
      <c r="K75" s="10"/>
    </row>
    <row r="76" spans="1:11" ht="63.95" customHeight="1" x14ac:dyDescent="0.2">
      <c r="A76" s="6">
        <v>7</v>
      </c>
      <c r="B76" s="7"/>
      <c r="C76" s="8">
        <v>3.68</v>
      </c>
      <c r="D76" s="9">
        <f t="shared" si="3"/>
        <v>32.44</v>
      </c>
      <c r="E76" s="9">
        <f t="shared" si="4"/>
        <v>64.88</v>
      </c>
      <c r="F76" s="9">
        <v>65</v>
      </c>
      <c r="G76" s="9">
        <f t="shared" si="5"/>
        <v>75</v>
      </c>
      <c r="I76" s="10"/>
      <c r="J76" s="10"/>
      <c r="K76" s="10"/>
    </row>
    <row r="77" spans="1:11" ht="63.95" customHeight="1" x14ac:dyDescent="0.2">
      <c r="A77" s="6">
        <v>6</v>
      </c>
      <c r="B77" s="7"/>
      <c r="C77" s="8">
        <v>3.68</v>
      </c>
      <c r="D77" s="9">
        <f t="shared" si="3"/>
        <v>32.44</v>
      </c>
      <c r="E77" s="9">
        <f t="shared" si="4"/>
        <v>64.88</v>
      </c>
      <c r="F77" s="9">
        <v>65</v>
      </c>
      <c r="G77" s="9">
        <f t="shared" si="5"/>
        <v>75</v>
      </c>
      <c r="I77" s="10"/>
      <c r="J77" s="10"/>
      <c r="K77" s="10"/>
    </row>
    <row r="78" spans="1:11" ht="63.95" customHeight="1" x14ac:dyDescent="0.2">
      <c r="A78" s="6">
        <v>5</v>
      </c>
      <c r="B78" s="7"/>
      <c r="C78" s="8">
        <v>3.68</v>
      </c>
      <c r="D78" s="9">
        <f t="shared" si="3"/>
        <v>32.44</v>
      </c>
      <c r="E78" s="9">
        <f t="shared" si="4"/>
        <v>64.88</v>
      </c>
      <c r="F78" s="9">
        <v>65</v>
      </c>
      <c r="G78" s="9">
        <f t="shared" si="5"/>
        <v>75</v>
      </c>
      <c r="I78" s="10"/>
      <c r="J78" s="10"/>
      <c r="K78" s="10"/>
    </row>
    <row r="79" spans="1:11" ht="63.95" customHeight="1" x14ac:dyDescent="0.2">
      <c r="A79" s="6">
        <v>4</v>
      </c>
      <c r="B79" s="7"/>
      <c r="C79" s="8">
        <v>3.68</v>
      </c>
      <c r="D79" s="9">
        <f t="shared" si="3"/>
        <v>32.44</v>
      </c>
      <c r="E79" s="9">
        <f t="shared" si="4"/>
        <v>64.88</v>
      </c>
      <c r="F79" s="9">
        <v>65</v>
      </c>
      <c r="G79" s="9">
        <f t="shared" si="5"/>
        <v>75</v>
      </c>
      <c r="I79" s="10"/>
      <c r="J79" s="10"/>
      <c r="K79" s="10"/>
    </row>
    <row r="80" spans="1:11" ht="63.95" customHeight="1" x14ac:dyDescent="0.2">
      <c r="A80" s="6">
        <v>3</v>
      </c>
      <c r="B80" s="7"/>
      <c r="C80" s="8">
        <v>3.68</v>
      </c>
      <c r="D80" s="9">
        <f t="shared" si="3"/>
        <v>32.44</v>
      </c>
      <c r="E80" s="9">
        <f t="shared" si="4"/>
        <v>64.88</v>
      </c>
      <c r="F80" s="9">
        <v>65</v>
      </c>
      <c r="G80" s="9">
        <f t="shared" si="5"/>
        <v>75</v>
      </c>
      <c r="I80" s="10"/>
      <c r="J80" s="10"/>
      <c r="K80" s="10"/>
    </row>
    <row r="81" spans="1:11" ht="63.95" customHeight="1" x14ac:dyDescent="0.2">
      <c r="A81" s="6">
        <v>2</v>
      </c>
      <c r="B81" s="7"/>
      <c r="C81" s="8">
        <v>3.68</v>
      </c>
      <c r="D81" s="9">
        <f t="shared" si="3"/>
        <v>32.44</v>
      </c>
      <c r="E81" s="9">
        <f t="shared" si="4"/>
        <v>64.88</v>
      </c>
      <c r="F81" s="9">
        <v>65</v>
      </c>
      <c r="G81" s="9">
        <f t="shared" si="5"/>
        <v>75</v>
      </c>
      <c r="I81" s="10"/>
      <c r="J81" s="10"/>
      <c r="K81" s="10"/>
    </row>
    <row r="82" spans="1:11" ht="63.95" customHeight="1" x14ac:dyDescent="0.2">
      <c r="A82" s="6">
        <v>1</v>
      </c>
      <c r="B82" s="7"/>
      <c r="C82" s="8">
        <v>3.68</v>
      </c>
      <c r="D82" s="9">
        <f t="shared" si="3"/>
        <v>32.44</v>
      </c>
      <c r="E82" s="9">
        <f t="shared" si="4"/>
        <v>64.88</v>
      </c>
      <c r="F82" s="9">
        <v>65</v>
      </c>
      <c r="G82" s="9">
        <f t="shared" si="5"/>
        <v>75</v>
      </c>
      <c r="I82" s="10"/>
      <c r="J82" s="10"/>
      <c r="K82" s="10"/>
    </row>
    <row r="83" spans="1:11" s="3" customFormat="1" ht="12.75" customHeight="1" x14ac:dyDescent="0.2"/>
    <row r="84" spans="1:11" s="3" customFormat="1" ht="12.75" customHeight="1" x14ac:dyDescent="0.2"/>
    <row r="85" spans="1:11" s="3" customFormat="1" ht="12.75" customHeight="1" x14ac:dyDescent="0.2"/>
    <row r="86" spans="1:11" s="3" customFormat="1" ht="12.75" customHeight="1" x14ac:dyDescent="0.2"/>
    <row r="87" spans="1:11" s="3" customFormat="1" ht="12.75" customHeight="1" x14ac:dyDescent="0.2"/>
    <row r="88" spans="1:11" s="3" customFormat="1" ht="12.75" customHeight="1" x14ac:dyDescent="0.2"/>
    <row r="89" spans="1:11" s="3" customFormat="1" ht="12.75" customHeight="1" x14ac:dyDescent="0.2"/>
    <row r="90" spans="1:11" s="3" customFormat="1" ht="12.75" customHeight="1" x14ac:dyDescent="0.2"/>
    <row r="91" spans="1:11" s="3" customFormat="1" ht="12.75" customHeight="1" x14ac:dyDescent="0.2"/>
    <row r="92" spans="1:11" s="3" customFormat="1" ht="12.75" customHeight="1" x14ac:dyDescent="0.2"/>
    <row r="93" spans="1:11" s="3" customFormat="1" ht="12.75" customHeight="1" x14ac:dyDescent="0.2"/>
    <row r="94" spans="1:11" s="3" customFormat="1" ht="12.75" customHeight="1" x14ac:dyDescent="0.2"/>
    <row r="95" spans="1:11" s="3" customFormat="1" ht="12.75" customHeight="1" x14ac:dyDescent="0.2"/>
    <row r="96" spans="1:11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5" customHeight="1" x14ac:dyDescent="0.2"/>
    <row r="576" s="3" customFormat="1" ht="15" customHeight="1" x14ac:dyDescent="0.2"/>
    <row r="577" s="3" customFormat="1" ht="15" customHeight="1" x14ac:dyDescent="0.2"/>
    <row r="578" s="3" customFormat="1" ht="15" customHeight="1" x14ac:dyDescent="0.2"/>
    <row r="579" s="3" customFormat="1" ht="15" customHeight="1" x14ac:dyDescent="0.2"/>
    <row r="580" s="3" customFormat="1" ht="15" customHeight="1" x14ac:dyDescent="0.2"/>
    <row r="581" s="3" customFormat="1" ht="15" customHeight="1" x14ac:dyDescent="0.2"/>
    <row r="582" s="3" customFormat="1" ht="15" customHeight="1" x14ac:dyDescent="0.2"/>
    <row r="583" s="3" customFormat="1" ht="15" customHeight="1" x14ac:dyDescent="0.2"/>
    <row r="584" s="3" customFormat="1" ht="15" customHeight="1" x14ac:dyDescent="0.2"/>
    <row r="585" s="3" customFormat="1" ht="15" customHeight="1" x14ac:dyDescent="0.2"/>
    <row r="586" s="3" customFormat="1" ht="15" customHeight="1" x14ac:dyDescent="0.2"/>
    <row r="587" s="3" customFormat="1" ht="15" customHeight="1" x14ac:dyDescent="0.2"/>
    <row r="588" s="3" customFormat="1" ht="15" customHeight="1" x14ac:dyDescent="0.2"/>
    <row r="589" s="3" customFormat="1" ht="15" customHeight="1" x14ac:dyDescent="0.2"/>
    <row r="590" s="3" customFormat="1" ht="15" customHeight="1" x14ac:dyDescent="0.2"/>
    <row r="591" s="3" customFormat="1" ht="15" customHeight="1" x14ac:dyDescent="0.2"/>
    <row r="592" s="3" customFormat="1" ht="15" customHeight="1" x14ac:dyDescent="0.2"/>
    <row r="593" s="3" customFormat="1" ht="15" customHeight="1" x14ac:dyDescent="0.2"/>
    <row r="594" s="3" customFormat="1" ht="15" customHeight="1" x14ac:dyDescent="0.2"/>
    <row r="595" s="3" customFormat="1" ht="15" customHeight="1" x14ac:dyDescent="0.2"/>
    <row r="596" s="3" customFormat="1" ht="15" customHeight="1" x14ac:dyDescent="0.2"/>
    <row r="597" s="3" customFormat="1" ht="15" customHeight="1" x14ac:dyDescent="0.2"/>
    <row r="598" s="3" customFormat="1" ht="15" customHeight="1" x14ac:dyDescent="0.2"/>
    <row r="599" s="3" customFormat="1" ht="15" customHeight="1" x14ac:dyDescent="0.2"/>
    <row r="600" s="3" customFormat="1" ht="15" customHeight="1" x14ac:dyDescent="0.2"/>
    <row r="601" s="3" customFormat="1" ht="15" customHeight="1" x14ac:dyDescent="0.2"/>
    <row r="602" s="3" customFormat="1" ht="15" customHeight="1" x14ac:dyDescent="0.2"/>
    <row r="603" s="3" customFormat="1" ht="15" customHeight="1" x14ac:dyDescent="0.2"/>
    <row r="604" s="3" customFormat="1" ht="15" customHeight="1" x14ac:dyDescent="0.2"/>
    <row r="605" s="3" customFormat="1" ht="15" customHeight="1" x14ac:dyDescent="0.2"/>
    <row r="606" s="3" customFormat="1" ht="15" customHeight="1" x14ac:dyDescent="0.2"/>
    <row r="607" s="3" customFormat="1" ht="15" customHeight="1" x14ac:dyDescent="0.2"/>
    <row r="608" s="3" customFormat="1" ht="15" customHeight="1" x14ac:dyDescent="0.2"/>
    <row r="609" s="3" customFormat="1" ht="15" customHeight="1" x14ac:dyDescent="0.2"/>
    <row r="610" s="3" customFormat="1" ht="15" customHeight="1" x14ac:dyDescent="0.2"/>
    <row r="611" s="3" customFormat="1" ht="15" customHeight="1" x14ac:dyDescent="0.2"/>
    <row r="612" s="3" customFormat="1" ht="15" customHeight="1" x14ac:dyDescent="0.2"/>
    <row r="613" s="3" customFormat="1" ht="15" customHeight="1" x14ac:dyDescent="0.2"/>
    <row r="614" s="3" customFormat="1" ht="15" customHeight="1" x14ac:dyDescent="0.2"/>
    <row r="615" s="3" customFormat="1" ht="15" customHeight="1" x14ac:dyDescent="0.2"/>
    <row r="616" s="3" customFormat="1" ht="15" customHeight="1" x14ac:dyDescent="0.2"/>
    <row r="617" s="3" customFormat="1" ht="15" customHeight="1" x14ac:dyDescent="0.2"/>
    <row r="618" s="3" customFormat="1" ht="15" customHeight="1" x14ac:dyDescent="0.2"/>
    <row r="619" s="3" customFormat="1" ht="15" customHeight="1" x14ac:dyDescent="0.2"/>
    <row r="620" s="3" customFormat="1" ht="15" customHeight="1" x14ac:dyDescent="0.2"/>
    <row r="621" s="3" customFormat="1" ht="15" customHeight="1" x14ac:dyDescent="0.2"/>
    <row r="622" s="3" customFormat="1" ht="15" customHeight="1" x14ac:dyDescent="0.2"/>
    <row r="623" s="3" customFormat="1" ht="15" customHeight="1" x14ac:dyDescent="0.2"/>
    <row r="624" s="3" customFormat="1" ht="15" customHeight="1" x14ac:dyDescent="0.2"/>
    <row r="625" s="3" customFormat="1" ht="15" customHeight="1" x14ac:dyDescent="0.2"/>
    <row r="626" s="3" customFormat="1" ht="15" customHeight="1" x14ac:dyDescent="0.2"/>
    <row r="627" s="3" customFormat="1" ht="15" customHeight="1" x14ac:dyDescent="0.2"/>
    <row r="628" s="3" customFormat="1" ht="15" customHeight="1" x14ac:dyDescent="0.2"/>
    <row r="629" s="3" customFormat="1" ht="15" customHeight="1" x14ac:dyDescent="0.2"/>
    <row r="630" s="3" customFormat="1" ht="15" customHeight="1" x14ac:dyDescent="0.2"/>
    <row r="631" s="3" customFormat="1" ht="15" customHeight="1" x14ac:dyDescent="0.2"/>
    <row r="632" s="3" customFormat="1" ht="15" customHeight="1" x14ac:dyDescent="0.2"/>
    <row r="633" s="3" customFormat="1" ht="15" customHeight="1" x14ac:dyDescent="0.2"/>
    <row r="634" s="3" customFormat="1" ht="15" customHeight="1" x14ac:dyDescent="0.2"/>
    <row r="635" s="3" customFormat="1" ht="15" customHeight="1" x14ac:dyDescent="0.2"/>
    <row r="636" s="3" customFormat="1" ht="15" customHeight="1" x14ac:dyDescent="0.2"/>
    <row r="637" s="3" customFormat="1" ht="15" customHeight="1" x14ac:dyDescent="0.2"/>
    <row r="638" s="3" customFormat="1" ht="15" customHeight="1" x14ac:dyDescent="0.2"/>
    <row r="639" s="3" customFormat="1" ht="15" customHeight="1" x14ac:dyDescent="0.2"/>
    <row r="640" s="3" customFormat="1" ht="15" customHeight="1" x14ac:dyDescent="0.2"/>
    <row r="641" s="3" customFormat="1" ht="15" customHeight="1" x14ac:dyDescent="0.2"/>
    <row r="642" s="3" customFormat="1" ht="15" customHeight="1" x14ac:dyDescent="0.2"/>
    <row r="643" s="3" customFormat="1" ht="15" customHeight="1" x14ac:dyDescent="0.2"/>
    <row r="644" s="3" customFormat="1" ht="15" customHeight="1" x14ac:dyDescent="0.2"/>
    <row r="645" s="3" customFormat="1" ht="15" customHeight="1" x14ac:dyDescent="0.2"/>
    <row r="646" s="3" customFormat="1" ht="15" customHeight="1" x14ac:dyDescent="0.2"/>
    <row r="647" s="3" customFormat="1" ht="15" customHeight="1" x14ac:dyDescent="0.2"/>
    <row r="648" s="3" customFormat="1" ht="15" customHeight="1" x14ac:dyDescent="0.2"/>
    <row r="649" s="3" customFormat="1" ht="15" customHeight="1" x14ac:dyDescent="0.2"/>
    <row r="650" s="3" customFormat="1" ht="15" customHeight="1" x14ac:dyDescent="0.2"/>
    <row r="651" s="3" customFormat="1" ht="15" customHeight="1" x14ac:dyDescent="0.2"/>
    <row r="652" s="3" customFormat="1" ht="15" customHeight="1" x14ac:dyDescent="0.2"/>
    <row r="653" s="3" customFormat="1" ht="15" customHeight="1" x14ac:dyDescent="0.2"/>
    <row r="654" s="3" customFormat="1" ht="15" customHeight="1" x14ac:dyDescent="0.2"/>
    <row r="655" s="3" customFormat="1" ht="15" customHeight="1" x14ac:dyDescent="0.2"/>
    <row r="656" s="3" customFormat="1" ht="15" customHeight="1" x14ac:dyDescent="0.2"/>
    <row r="657" s="3" customFormat="1" ht="15" customHeight="1" x14ac:dyDescent="0.2"/>
    <row r="658" s="3" customFormat="1" ht="15" customHeight="1" x14ac:dyDescent="0.2"/>
    <row r="659" s="3" customFormat="1" ht="15" customHeight="1" x14ac:dyDescent="0.2"/>
    <row r="660" s="3" customFormat="1" ht="15" customHeight="1" x14ac:dyDescent="0.2"/>
    <row r="661" s="3" customFormat="1" ht="15" customHeight="1" x14ac:dyDescent="0.2"/>
    <row r="662" s="3" customFormat="1" ht="15" customHeight="1" x14ac:dyDescent="0.2"/>
    <row r="663" s="3" customFormat="1" ht="15" customHeight="1" x14ac:dyDescent="0.2"/>
    <row r="664" s="3" customFormat="1" ht="15" customHeight="1" x14ac:dyDescent="0.2"/>
    <row r="665" s="3" customFormat="1" ht="15" customHeight="1" x14ac:dyDescent="0.2"/>
    <row r="666" s="3" customFormat="1" ht="15" customHeight="1" x14ac:dyDescent="0.2"/>
    <row r="667" s="3" customFormat="1" ht="15" customHeight="1" x14ac:dyDescent="0.2"/>
    <row r="668" s="3" customFormat="1" ht="15" customHeight="1" x14ac:dyDescent="0.2"/>
    <row r="669" s="3" customFormat="1" ht="15" customHeight="1" x14ac:dyDescent="0.2"/>
    <row r="670" s="3" customFormat="1" ht="15" customHeight="1" x14ac:dyDescent="0.2"/>
    <row r="671" s="3" customFormat="1" ht="15" customHeight="1" x14ac:dyDescent="0.2"/>
    <row r="672" s="3" customFormat="1" ht="15" customHeight="1" x14ac:dyDescent="0.2"/>
    <row r="673" s="3" customFormat="1" ht="15" customHeight="1" x14ac:dyDescent="0.2"/>
    <row r="674" s="3" customFormat="1" ht="15" customHeight="1" x14ac:dyDescent="0.2"/>
    <row r="675" s="3" customFormat="1" ht="15" customHeight="1" x14ac:dyDescent="0.2"/>
    <row r="676" s="3" customFormat="1" ht="15" customHeight="1" x14ac:dyDescent="0.2"/>
    <row r="677" s="3" customFormat="1" ht="15" customHeight="1" x14ac:dyDescent="0.2"/>
    <row r="678" s="3" customFormat="1" ht="15" customHeight="1" x14ac:dyDescent="0.2"/>
    <row r="679" s="3" customFormat="1" ht="15" customHeight="1" x14ac:dyDescent="0.2"/>
    <row r="680" s="3" customFormat="1" ht="15" customHeight="1" x14ac:dyDescent="0.2"/>
    <row r="681" s="3" customFormat="1" ht="15" customHeight="1" x14ac:dyDescent="0.2"/>
    <row r="682" s="3" customFormat="1" ht="15" customHeight="1" x14ac:dyDescent="0.2"/>
    <row r="683" s="3" customFormat="1" ht="15" customHeight="1" x14ac:dyDescent="0.2"/>
    <row r="684" s="3" customFormat="1" ht="15" customHeight="1" x14ac:dyDescent="0.2"/>
    <row r="685" s="3" customFormat="1" ht="15" customHeight="1" x14ac:dyDescent="0.2"/>
    <row r="686" s="3" customFormat="1" ht="15" customHeight="1" x14ac:dyDescent="0.2"/>
    <row r="687" s="3" customFormat="1" ht="15" customHeight="1" x14ac:dyDescent="0.2"/>
    <row r="688" s="3" customFormat="1" ht="15" customHeight="1" x14ac:dyDescent="0.2"/>
    <row r="689" s="3" customFormat="1" ht="15" customHeight="1" x14ac:dyDescent="0.2"/>
    <row r="690" s="3" customFormat="1" ht="15" customHeight="1" x14ac:dyDescent="0.2"/>
    <row r="691" s="3" customFormat="1" ht="15" customHeight="1" x14ac:dyDescent="0.2"/>
    <row r="692" s="3" customFormat="1" ht="15" customHeight="1" x14ac:dyDescent="0.2"/>
    <row r="693" s="3" customFormat="1" ht="15" customHeight="1" x14ac:dyDescent="0.2"/>
    <row r="694" s="3" customFormat="1" ht="15" customHeight="1" x14ac:dyDescent="0.2"/>
    <row r="695" s="3" customFormat="1" ht="15" customHeight="1" x14ac:dyDescent="0.2"/>
    <row r="696" s="3" customFormat="1" ht="15" customHeight="1" x14ac:dyDescent="0.2"/>
    <row r="697" s="3" customFormat="1" ht="15" customHeight="1" x14ac:dyDescent="0.2"/>
    <row r="698" s="3" customFormat="1" ht="15" customHeight="1" x14ac:dyDescent="0.2"/>
    <row r="699" s="3" customFormat="1" ht="15" customHeight="1" x14ac:dyDescent="0.2"/>
    <row r="700" s="3" customFormat="1" ht="15" customHeight="1" x14ac:dyDescent="0.2"/>
    <row r="701" s="3" customFormat="1" ht="15" customHeight="1" x14ac:dyDescent="0.2"/>
    <row r="702" s="3" customFormat="1" ht="15" customHeight="1" x14ac:dyDescent="0.2"/>
    <row r="703" s="3" customFormat="1" ht="15" customHeight="1" x14ac:dyDescent="0.2"/>
    <row r="704" s="3" customFormat="1" ht="15" customHeight="1" x14ac:dyDescent="0.2"/>
    <row r="705" s="3" customFormat="1" ht="15" customHeight="1" x14ac:dyDescent="0.2"/>
    <row r="706" s="3" customFormat="1" ht="15" customHeight="1" x14ac:dyDescent="0.2"/>
    <row r="707" s="3" customFormat="1" ht="15" customHeight="1" x14ac:dyDescent="0.2"/>
    <row r="708" s="3" customFormat="1" ht="15" customHeight="1" x14ac:dyDescent="0.2"/>
    <row r="709" s="3" customFormat="1" ht="15" customHeight="1" x14ac:dyDescent="0.2"/>
    <row r="710" s="3" customFormat="1" ht="15" customHeight="1" x14ac:dyDescent="0.2"/>
    <row r="711" s="3" customFormat="1" ht="15" customHeight="1" x14ac:dyDescent="0.2"/>
    <row r="712" s="3" customFormat="1" ht="15" customHeight="1" x14ac:dyDescent="0.2"/>
    <row r="713" s="3" customFormat="1" ht="15" customHeight="1" x14ac:dyDescent="0.2"/>
    <row r="714" s="3" customFormat="1" ht="15" customHeight="1" x14ac:dyDescent="0.2"/>
    <row r="715" s="3" customFormat="1" ht="15" customHeight="1" x14ac:dyDescent="0.2"/>
    <row r="716" s="3" customFormat="1" ht="15" customHeight="1" x14ac:dyDescent="0.2"/>
    <row r="717" s="3" customFormat="1" ht="15" customHeight="1" x14ac:dyDescent="0.2"/>
    <row r="718" s="3" customFormat="1" ht="15" customHeight="1" x14ac:dyDescent="0.2"/>
    <row r="719" s="3" customFormat="1" ht="15" customHeight="1" x14ac:dyDescent="0.2"/>
    <row r="720" s="3" customFormat="1" ht="15" customHeight="1" x14ac:dyDescent="0.2"/>
    <row r="721" s="3" customFormat="1" ht="15" customHeight="1" x14ac:dyDescent="0.2"/>
    <row r="722" s="3" customFormat="1" ht="15" customHeight="1" x14ac:dyDescent="0.2"/>
    <row r="723" s="3" customFormat="1" ht="15" customHeight="1" x14ac:dyDescent="0.2"/>
    <row r="724" s="3" customFormat="1" ht="15" customHeight="1" x14ac:dyDescent="0.2"/>
    <row r="725" s="3" customFormat="1" ht="15" customHeight="1" x14ac:dyDescent="0.2"/>
    <row r="726" s="3" customFormat="1" ht="15" customHeight="1" x14ac:dyDescent="0.2"/>
    <row r="727" s="3" customFormat="1" ht="15" customHeight="1" x14ac:dyDescent="0.2"/>
    <row r="728" s="3" customFormat="1" ht="15" customHeight="1" x14ac:dyDescent="0.2"/>
    <row r="729" s="3" customFormat="1" ht="15" customHeight="1" x14ac:dyDescent="0.2"/>
    <row r="730" s="3" customFormat="1" ht="15" customHeight="1" x14ac:dyDescent="0.2"/>
    <row r="731" s="3" customFormat="1" ht="15" customHeight="1" x14ac:dyDescent="0.2"/>
    <row r="732" s="3" customFormat="1" ht="15" customHeight="1" x14ac:dyDescent="0.2"/>
    <row r="733" s="3" customFormat="1" ht="15" customHeight="1" x14ac:dyDescent="0.2"/>
    <row r="734" s="3" customFormat="1" ht="15" customHeight="1" x14ac:dyDescent="0.2"/>
    <row r="735" s="3" customFormat="1" ht="15" customHeight="1" x14ac:dyDescent="0.2"/>
    <row r="736" s="3" customFormat="1" ht="15" customHeight="1" x14ac:dyDescent="0.2"/>
    <row r="737" s="3" customFormat="1" ht="15" customHeight="1" x14ac:dyDescent="0.2"/>
    <row r="738" s="3" customFormat="1" ht="15" customHeight="1" x14ac:dyDescent="0.2"/>
    <row r="739" s="3" customFormat="1" ht="15" customHeight="1" x14ac:dyDescent="0.2"/>
    <row r="740" s="3" customFormat="1" ht="15" customHeight="1" x14ac:dyDescent="0.2"/>
    <row r="741" s="3" customFormat="1" ht="15" customHeight="1" x14ac:dyDescent="0.2"/>
    <row r="742" s="3" customFormat="1" ht="15" customHeight="1" x14ac:dyDescent="0.2"/>
    <row r="743" s="3" customFormat="1" ht="15" customHeight="1" x14ac:dyDescent="0.2"/>
    <row r="744" s="3" customFormat="1" ht="15" customHeight="1" x14ac:dyDescent="0.2"/>
    <row r="745" s="3" customFormat="1" ht="15" customHeight="1" x14ac:dyDescent="0.2"/>
    <row r="746" s="3" customFormat="1" ht="15" customHeight="1" x14ac:dyDescent="0.2"/>
    <row r="747" s="3" customFormat="1" ht="15" customHeight="1" x14ac:dyDescent="0.2"/>
    <row r="748" s="3" customFormat="1" ht="15" customHeight="1" x14ac:dyDescent="0.2"/>
    <row r="749" s="3" customFormat="1" ht="15" customHeight="1" x14ac:dyDescent="0.2"/>
    <row r="750" s="3" customFormat="1" ht="15" customHeight="1" x14ac:dyDescent="0.2"/>
    <row r="751" s="3" customFormat="1" ht="15" customHeight="1" x14ac:dyDescent="0.2"/>
    <row r="752" s="3" customFormat="1" ht="15" customHeight="1" x14ac:dyDescent="0.2"/>
    <row r="753" s="3" customFormat="1" ht="15" customHeight="1" x14ac:dyDescent="0.2"/>
    <row r="754" s="3" customFormat="1" ht="15" customHeight="1" x14ac:dyDescent="0.2"/>
    <row r="755" s="3" customFormat="1" ht="15" customHeight="1" x14ac:dyDescent="0.2"/>
    <row r="756" s="3" customFormat="1" ht="15" customHeight="1" x14ac:dyDescent="0.2"/>
    <row r="757" s="3" customFormat="1" ht="15" customHeight="1" x14ac:dyDescent="0.2"/>
  </sheetData>
  <printOptions horizontalCentered="1"/>
  <pageMargins left="0.70866141732283472" right="0.70866141732283472" top="0.74803149606299213" bottom="0.74803149606299213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 LOCKETS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2026-07-31T19:20:03Z</dcterms:created>
  <dcterms:modified xsi:type="dcterms:W3CDTF">2026-07-31T19:20:19Z</dcterms:modified>
</cp:coreProperties>
</file>