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2E1B252-C31C-4C3C-853E-FF2D777E7190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" i="1" l="1"/>
  <c r="H4" i="1"/>
  <c r="I4" i="1" s="1"/>
  <c r="J4" i="1" s="1"/>
  <c r="G4" i="1"/>
  <c r="L5" i="1"/>
  <c r="G5" i="1"/>
  <c r="H5" i="1" s="1"/>
  <c r="I5" i="1" s="1"/>
  <c r="J5" i="1" s="1"/>
  <c r="L6" i="1"/>
  <c r="G6" i="1"/>
  <c r="H6" i="1" s="1"/>
  <c r="I6" i="1" s="1"/>
  <c r="J6" i="1" s="1"/>
  <c r="L7" i="1"/>
  <c r="G7" i="1"/>
  <c r="H7" i="1" s="1"/>
  <c r="I7" i="1" s="1"/>
  <c r="J7" i="1" s="1"/>
  <c r="L8" i="1"/>
  <c r="G8" i="1"/>
  <c r="H8" i="1" s="1"/>
  <c r="I8" i="1" s="1"/>
  <c r="J8" i="1" s="1"/>
  <c r="L9" i="1"/>
  <c r="G9" i="1"/>
  <c r="H9" i="1" s="1"/>
  <c r="I9" i="1" s="1"/>
  <c r="J9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<sst xmlns="http://schemas.openxmlformats.org/spreadsheetml/2006/main" count="13" uniqueCount="13">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</sst>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8</xdr:row>
      <xdr:rowOff>295275</xdr:rowOff>
    </xdr:from>
    <xdr:to>
      <xdr:col>2</xdr:col>
      <xdr:colOff>1362075</xdr:colOff>
      <xdr:row>8</xdr:row>
      <xdr:rowOff>981075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971550"/>
          <a:ext cx="12668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7</xdr:row>
      <xdr:rowOff>295275</xdr:rowOff>
    </xdr:from>
    <xdr:to>
      <xdr:col>2</xdr:col>
      <xdr:colOff>1343025</xdr:colOff>
      <xdr:row>7</xdr:row>
      <xdr:rowOff>1028700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52575" y="2238375"/>
          <a:ext cx="12668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6</xdr:row>
      <xdr:rowOff>228600</xdr:rowOff>
    </xdr:from>
    <xdr:to>
      <xdr:col>2</xdr:col>
      <xdr:colOff>1343025</xdr:colOff>
      <xdr:row>6</xdr:row>
      <xdr:rowOff>1009650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3438525"/>
          <a:ext cx="1238250" cy="7810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5</xdr:row>
      <xdr:rowOff>333375</xdr:rowOff>
    </xdr:from>
    <xdr:to>
      <xdr:col>2</xdr:col>
      <xdr:colOff>1304925</xdr:colOff>
      <xdr:row>5</xdr:row>
      <xdr:rowOff>1057275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4810125"/>
          <a:ext cx="1228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4</xdr:row>
      <xdr:rowOff>323850</xdr:rowOff>
    </xdr:from>
    <xdr:to>
      <xdr:col>2</xdr:col>
      <xdr:colOff>1314450</xdr:colOff>
      <xdr:row>4</xdr:row>
      <xdr:rowOff>904875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6067425"/>
          <a:ext cx="12192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3</xdr:row>
      <xdr:rowOff>361950</xdr:rowOff>
    </xdr:from>
    <xdr:to>
      <xdr:col>2</xdr:col>
      <xdr:colOff>1295400</xdr:colOff>
      <xdr:row>3</xdr:row>
      <xdr:rowOff>923925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7372350"/>
          <a:ext cx="1219200" cy="561975"/>
        </a:xfrm>
        <a:prstGeom prst="rect">
          <a:avLst/>
        </a:prstGeom>
        <a:noFill/>
      </xdr:spPr>
    </xdr:pic>
    <xdr:clientData fLocksWithSheet="0"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47"/>
  <sheetViews>
    <sheetView showGridLines="0" tabSelected="1" workbookViewId="0">
      <selection activeCell="P4" sqref="P4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1" t="s">
        <v>0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3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6</v>
      </c>
      <c r="B4" s="3">
        <v>15</v>
      </c>
      <c r="C4" s="4"/>
      <c r="D4" s="5">
        <v>5.14</v>
      </c>
      <c r="E4" s="6">
        <v>0.7</v>
      </c>
      <c r="F4" s="7">
        <v>0.19</v>
      </c>
      <c r="G4" s="8">
        <f>D4+E4+F4</f>
        <v>6.03</v>
      </c>
      <c r="H4" s="7">
        <f>G4*8</f>
        <v>48.24</v>
      </c>
      <c r="I4" s="7">
        <f>H4/0.95</f>
        <v>50.778947368421058</v>
      </c>
      <c r="J4" s="7">
        <f>(I4*2)+5</f>
        <v>106.55789473684212</v>
      </c>
      <c r="K4" s="7">
        <v>110</v>
      </c>
      <c r="L4" s="9">
        <f>K4+10</f>
        <v>120</v>
      </c>
    </row>
    <row r="5" spans="1:12" ht="99.75" customHeight="1" x14ac:dyDescent="0.25">
      <c r="A5" s="2">
        <v>5</v>
      </c>
      <c r="B5" s="3">
        <v>15</v>
      </c>
      <c r="C5" s="4"/>
      <c r="D5" s="5">
        <v>5.29</v>
      </c>
      <c r="E5" s="6">
        <v>0.7</v>
      </c>
      <c r="F5" s="7">
        <v>0.19</v>
      </c>
      <c r="G5" s="8">
        <f>D5+E5+F5</f>
        <v>6.1800000000000006</v>
      </c>
      <c r="H5" s="7">
        <f>G5*8</f>
        <v>49.440000000000005</v>
      </c>
      <c r="I5" s="7">
        <f>H5/0.95</f>
        <v>52.0421052631579</v>
      </c>
      <c r="J5" s="7">
        <f>(I5*2)+5</f>
        <v>109.0842105263158</v>
      </c>
      <c r="K5" s="7">
        <v>110</v>
      </c>
      <c r="L5" s="9">
        <f>K5+10</f>
        <v>120</v>
      </c>
    </row>
    <row r="6" spans="1:12" ht="99.75" customHeight="1" x14ac:dyDescent="0.25">
      <c r="A6" s="2">
        <v>4</v>
      </c>
      <c r="B6" s="3">
        <v>25</v>
      </c>
      <c r="C6" s="4"/>
      <c r="D6" s="5">
        <v>11.31</v>
      </c>
      <c r="E6" s="6">
        <v>1.17</v>
      </c>
      <c r="F6" s="7">
        <v>0.32</v>
      </c>
      <c r="G6" s="8">
        <f>D6+E6+F6</f>
        <v>12.8</v>
      </c>
      <c r="H6" s="7">
        <f>G6*8</f>
        <v>102.4</v>
      </c>
      <c r="I6" s="7">
        <f>H6/0.95</f>
        <v>107.78947368421053</v>
      </c>
      <c r="J6" s="7">
        <f>(I6*2)+5</f>
        <v>220.57894736842107</v>
      </c>
      <c r="K6" s="7">
        <v>220</v>
      </c>
      <c r="L6" s="9">
        <f>K6+10</f>
        <v>230</v>
      </c>
    </row>
    <row r="7" spans="1:12" ht="99.75" customHeight="1" x14ac:dyDescent="0.25">
      <c r="A7" s="2">
        <v>3</v>
      </c>
      <c r="B7" s="3">
        <v>20</v>
      </c>
      <c r="C7" s="4"/>
      <c r="D7" s="5">
        <v>6.61</v>
      </c>
      <c r="E7" s="6">
        <v>0.93</v>
      </c>
      <c r="F7" s="7">
        <v>0.26</v>
      </c>
      <c r="G7" s="8">
        <f>D7+E7+F7</f>
        <v>7.8</v>
      </c>
      <c r="H7" s="7">
        <f>G7*8</f>
        <v>62.4</v>
      </c>
      <c r="I7" s="7">
        <f>H7/0.95</f>
        <v>65.684210526315795</v>
      </c>
      <c r="J7" s="7">
        <f>(I7*2)+5</f>
        <v>136.36842105263159</v>
      </c>
      <c r="K7" s="7">
        <v>140</v>
      </c>
      <c r="L7" s="9">
        <f>K7+10</f>
        <v>150</v>
      </c>
    </row>
    <row r="8" spans="1:12" ht="99.75" customHeight="1" x14ac:dyDescent="0.25">
      <c r="A8" s="2">
        <v>2</v>
      </c>
      <c r="B8" s="3">
        <v>30</v>
      </c>
      <c r="C8" s="4"/>
      <c r="D8" s="5">
        <v>8.23</v>
      </c>
      <c r="E8" s="10">
        <v>1.4</v>
      </c>
      <c r="F8" s="7">
        <v>0.39</v>
      </c>
      <c r="G8" s="8">
        <f>D8+E8+F8</f>
        <v>10.020000000000001</v>
      </c>
      <c r="H8" s="7">
        <f>G8*8</f>
        <v>80.160000000000011</v>
      </c>
      <c r="I8" s="7">
        <f>H8/0.95</f>
        <v>84.378947368421066</v>
      </c>
      <c r="J8" s="7">
        <f>(I8*2)+5</f>
        <v>173.75789473684213</v>
      </c>
      <c r="K8" s="7">
        <v>175</v>
      </c>
      <c r="L8" s="9">
        <f>K8+10</f>
        <v>185</v>
      </c>
    </row>
    <row r="9" spans="1:12" ht="99.75" customHeight="1" x14ac:dyDescent="0.25">
      <c r="A9" s="2">
        <v>1</v>
      </c>
      <c r="B9" s="3">
        <v>30</v>
      </c>
      <c r="C9" s="4"/>
      <c r="D9" s="5">
        <v>6.61</v>
      </c>
      <c r="E9" s="10">
        <v>1.4</v>
      </c>
      <c r="F9" s="7">
        <v>0.39</v>
      </c>
      <c r="G9" s="8">
        <f>D9+E9+F9</f>
        <v>8.4</v>
      </c>
      <c r="H9" s="7">
        <f>G9*8</f>
        <v>67.2</v>
      </c>
      <c r="I9" s="7">
        <f>H9/0.95</f>
        <v>70.736842105263165</v>
      </c>
      <c r="J9" s="7">
        <f>(I9*2)+5</f>
        <v>146.47368421052633</v>
      </c>
      <c r="K9" s="7">
        <v>150</v>
      </c>
      <c r="L9" s="9">
        <f>K9+10</f>
        <v>160</v>
      </c>
    </row>
    <row r="10" spans="1:12" ht="15.75" customHeight="1" x14ac:dyDescent="0.25"/>
    <row r="11" spans="1:12" ht="15.75" customHeight="1" x14ac:dyDescent="0.25"/>
    <row r="12" spans="1:12" ht="15.75" customHeight="1" x14ac:dyDescent="0.25"/>
    <row r="13" spans="1:12" ht="15.75" customHeight="1" x14ac:dyDescent="0.25"/>
    <row r="14" spans="1:12" ht="15.75" customHeight="1" x14ac:dyDescent="0.25"/>
    <row r="15" spans="1:12" ht="15.75" customHeight="1" x14ac:dyDescent="0.25"/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</sheetData>
  <sortState xmlns:xlrd2="http://schemas.microsoft.com/office/spreadsheetml/2017/richdata2" ref="A4:L9">
    <sortCondition descending="1" ref="A4:A9"/>
  </sortState>
  <mergeCells count="1">
    <mergeCell ref="A2:L2"/>
  </mergeCells>
  <hyperlinks>
    <hyperlink ref="D9" r:id="rId1" display="https://www.sugargoo.com/products?productLink=https%253A%252F%252Fdetail.1688.com%252Foffer%252F1002132577551.html%253FkjSource%253Dpc" xr:uid="{158232D1-5A33-4F23-96FE-CBBD1062997F}"/>
    <hyperlink ref="D8" r:id="rId2" display="https://www.sugargoo.com/products?productLink=https%253A%252F%252Fdetail.1688.com%252Foffer%252F1002132577551.html%253FkjSource%253Dpc" xr:uid="{E4E5833E-4068-4B7C-B15B-8751DDC64332}"/>
    <hyperlink ref="D7" r:id="rId3" display="https://www.sugargoo.com/products?productLink=https%253A%252F%252Fdetail.1688.com%252Foffer%252F1002132577551.html%253FkjSource%253Dpc" xr:uid="{617E7749-47A4-47BF-9B49-B7021524E0CD}"/>
    <hyperlink ref="D6" r:id="rId4" display="https://www.sugargoo.com/products?productLink=https%253A%252F%252Fdetail.1688.com%252Foffer%252F1002132577551.html%253FkjSource%253Dpc" xr:uid="{373D7045-F276-4CA0-92CD-7DDFEEF88D44}"/>
    <hyperlink ref="D5" r:id="rId5" display="https://www.sugargoo.com/products?productLink=https%253A%252F%252Fdetail.1688.com%252Foffer%252F1002132577551.html%253FkjSource%253Dpc" xr:uid="{72EFFD19-DCEF-424B-99B5-9CD2ABDFC16A}"/>
    <hyperlink ref="D4" r:id="rId6" display="https://www.sugargoo.com/products?productLink=https%253A%252F%252Fdetail.1688.com%252Foffer%252F1002132577551.html%253FkjSource%253Dpc" xr:uid="{2BAC9E25-EE87-4D34-BF2C-E18DBF9252D5}"/>
  </hyperlinks>
  <printOptions horizontalCentered="1"/>
  <pageMargins left="0.70866141732283472" right="0.70866141732283472" top="0.74803149606299213" bottom="0.74803149606299213" header="0" footer="0"/>
  <pageSetup orientation="portrait" r:id="rId7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2026-08-07T17:21:35Z</dcterms:modified>
</cp:coreProperties>
</file>